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k\Silaria\gfs_akomodasi\backend\"/>
    </mc:Choice>
  </mc:AlternateContent>
  <xr:revisionPtr revIDLastSave="0" documentId="8_{2AB4E651-4F77-404B-A88C-3EFA67135C43}" xr6:coauthVersionLast="47" xr6:coauthVersionMax="47" xr10:uidLastSave="{00000000-0000-0000-0000-000000000000}"/>
  <bookViews>
    <workbookView xWindow="-108" yWindow="-108" windowWidth="23256" windowHeight="12456" firstSheet="24" activeTab="10" xr2:uid="{9869468C-01FA-426F-A1E5-F4B28564E2E1}"/>
  </bookViews>
  <sheets>
    <sheet name="0. Data Penghuni Mess CNI" sheetId="18" r:id="rId1"/>
    <sheet name="1. Dashboard" sheetId="13" r:id="rId2"/>
    <sheet name="2.1. Data Register_Area" sheetId="17" r:id="rId3"/>
    <sheet name="2.2 Data Register_Mess" sheetId="6" r:id="rId4"/>
    <sheet name="2.3. Data Register_Bedroom" sheetId="10" r:id="rId5"/>
    <sheet name="2.3. Data Register_Meeting Room" sheetId="24" r:id="rId6"/>
    <sheet name="2.4 Data Register_Meals DP" sheetId="8" r:id="rId7"/>
    <sheet name="2.5. Data Register_Laundry DP" sheetId="15" r:id="rId8"/>
    <sheet name="2.6. Data Register_Laundry Bag" sheetId="16" r:id="rId9"/>
    <sheet name="2.7. Data Register_Guest" sheetId="9" r:id="rId10"/>
    <sheet name="3.1. Reservation_Bedroom" sheetId="11" r:id="rId11"/>
    <sheet name="3.2. Reservation_Meeting Room" sheetId="23" r:id="rId12"/>
    <sheet name="3.3. Check In &amp; Out" sheetId="25" r:id="rId13"/>
    <sheet name="4.1 Information_Bedroom" sheetId="12" r:id="rId14"/>
    <sheet name="4.2. Information_Meeting Room" sheetId="27" r:id="rId15"/>
    <sheet name="4.3.Information_Person On Board" sheetId="2" r:id="rId16"/>
    <sheet name="4.4. Information_Meals Services" sheetId="28" r:id="rId17"/>
    <sheet name="4.5. Information_Laundry Servis" sheetId="32" r:id="rId18"/>
    <sheet name="5.1. Meals Request Form" sheetId="21" r:id="rId19"/>
    <sheet name="5.2. Meals on Request " sheetId="3" r:id="rId20"/>
    <sheet name="5.3. Meals on Schedule" sheetId="19" r:id="rId21"/>
    <sheet name="5.4. Meals for Delivery" sheetId="20" r:id="rId22"/>
    <sheet name="6.1. Laundry Drop &amp; Distribute" sheetId="22" r:id="rId23"/>
    <sheet name="6.2. Laundry Deliver &amp; Return" sheetId="29" r:id="rId24"/>
    <sheet name="6.3. Laundry Receiving" sheetId="30" r:id="rId25"/>
    <sheet name="6.4. Laundry Receiving Details " sheetId="31" r:id="rId26"/>
    <sheet name="7. Reporting" sheetId="14" r:id="rId27"/>
  </sheets>
  <externalReferences>
    <externalReference r:id="rId28"/>
    <externalReference r:id="rId29"/>
    <externalReference r:id="rId30"/>
  </externalReferences>
  <definedNames>
    <definedName name="___gk2" hidden="1">#REF!</definedName>
    <definedName name="__123Graph_D" hidden="1">[1]SEX!$P$7:$P$7</definedName>
    <definedName name="__123Graph_F" hidden="1">[2]ESCON!#REF!</definedName>
    <definedName name="__gk2" hidden="1">#REF!</definedName>
    <definedName name="_BLOKD" hidden="1">#REF!</definedName>
    <definedName name="_D1" hidden="1">'[3]I-ME'!#REF!</definedName>
    <definedName name="_Dist_Bin" hidden="1">#REF!</definedName>
    <definedName name="_Dist_Values" hidden="1">#REF!</definedName>
    <definedName name="_f" hidden="1">#REF!</definedName>
    <definedName name="_Fill" hidden="1">#REF!</definedName>
    <definedName name="_xlnm._FilterDatabase" localSheetId="4" hidden="1">'2.3. Data Register_Bedroom'!$A$3:$L$462</definedName>
    <definedName name="_xlnm._FilterDatabase" localSheetId="5" hidden="1">'2.3. Data Register_Meeting Room'!$A$3:$L$12</definedName>
    <definedName name="_xlnm._FilterDatabase" localSheetId="13" hidden="1">'4.1 Information_Bedroom'!$E$5:$E$24</definedName>
    <definedName name="_xlnm._FilterDatabase" localSheetId="14" hidden="1">'4.2. Information_Meeting Room'!$A$3:$I$12</definedName>
    <definedName name="_gk2" hidden="1">#REF!</definedName>
    <definedName name="_Key1" hidden="1">'[3]I-ME'!#REF!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fu" localSheetId="0" hidden="1">{#N/A,#N/A,FALSE,"REK-S-TPL";#N/A,#N/A,FALSE,"REK-TPML";#N/A,#N/A,FALSE,"RAB-TEMPEL"}</definedName>
    <definedName name="afu" hidden="1">{#N/A,#N/A,FALSE,"REK-S-TPL";#N/A,#N/A,FALSE,"REK-TPML";#N/A,#N/A,FALSE,"RAB-TEMPEL"}</definedName>
    <definedName name="ASU" localSheetId="0" hidden="1">{#N/A,#N/A,FALSE,"REK-S-TPL";#N/A,#N/A,FALSE,"REK-TPML";#N/A,#N/A,FALSE,"RAB-TEMPEL"}</definedName>
    <definedName name="ASU" hidden="1">{#N/A,#N/A,FALSE,"REK-S-TPL";#N/A,#N/A,FALSE,"REK-TPML";#N/A,#N/A,FALSE,"RAB-TEMPEL"}</definedName>
    <definedName name="blok" hidden="1">#REF!</definedName>
    <definedName name="BLOKB" hidden="1">#REF!</definedName>
    <definedName name="BSU" localSheetId="0" hidden="1">{#N/A,#N/A,FALSE,"REK-S-TPL";#N/A,#N/A,FALSE,"REK-TPML";#N/A,#N/A,FALSE,"RAB-TEMPEL"}</definedName>
    <definedName name="BSU" hidden="1">{#N/A,#N/A,FALSE,"REK-S-TPL";#N/A,#N/A,FALSE,"REK-TPML";#N/A,#N/A,FALSE,"RAB-TEMPEL"}</definedName>
    <definedName name="Cino" hidden="1">#REF!</definedName>
    <definedName name="clik_02" hidden="1">#REF!</definedName>
    <definedName name="dddd" localSheetId="0" hidden="1">{#N/A,#N/A,FALSE,"REK-S-TPL";#N/A,#N/A,FALSE,"REK-TPML";#N/A,#N/A,FALSE,"RAB-TEMPEL"}</definedName>
    <definedName name="dddd" hidden="1">{#N/A,#N/A,FALSE,"REK-S-TPL";#N/A,#N/A,FALSE,"REK-TPML";#N/A,#N/A,FALSE,"RAB-TEMPEL"}</definedName>
    <definedName name="DEG" localSheetId="0" hidden="1">{#N/A,#N/A,FALSE,"REK-S-TPL";#N/A,#N/A,FALSE,"REK-TPML";#N/A,#N/A,FALSE,"RAB-TEMPEL"}</definedName>
    <definedName name="DEG" hidden="1">{#N/A,#N/A,FALSE,"REK-S-TPL";#N/A,#N/A,FALSE,"REK-TPML";#N/A,#N/A,FALSE,"RAB-TEMPEL"}</definedName>
    <definedName name="eeee" localSheetId="0" hidden="1">{#N/A,#N/A,FALSE,"REK-S-TPL";#N/A,#N/A,FALSE,"REK-TPML";#N/A,#N/A,FALSE,"RAB-TEMPEL"}</definedName>
    <definedName name="eeee" hidden="1">{#N/A,#N/A,FALSE,"REK-S-TPL";#N/A,#N/A,FALSE,"REK-TPML";#N/A,#N/A,FALSE,"RAB-TEMPEL"}</definedName>
    <definedName name="eeeee" localSheetId="0" hidden="1">{#N/A,#N/A,FALSE,"REK-S-TPL";#N/A,#N/A,FALSE,"REK-TPML";#N/A,#N/A,FALSE,"RAB-TEMPEL"}</definedName>
    <definedName name="eeeee" hidden="1">{#N/A,#N/A,FALSE,"REK-S-TPL";#N/A,#N/A,FALSE,"REK-TPML";#N/A,#N/A,FALSE,"RAB-TEMPEL"}</definedName>
    <definedName name="FAD" localSheetId="0" hidden="1">{#N/A,#N/A,FALSE,"REK-S-TPL";#N/A,#N/A,FALSE,"REK-TPML";#N/A,#N/A,FALSE,"RAB-TEMPEL"}</definedName>
    <definedName name="FAD" hidden="1">{#N/A,#N/A,FALSE,"REK-S-TPL";#N/A,#N/A,FALSE,"REK-TPML";#N/A,#N/A,FALSE,"RAB-TEMPEL"}</definedName>
    <definedName name="FILLL" hidden="1">#REF!</definedName>
    <definedName name="FREI" localSheetId="0" hidden="1">{#N/A,#N/A,FALSE,"REK-S-TPL";#N/A,#N/A,FALSE,"REK-TPML";#N/A,#N/A,FALSE,"RAB-TEMPEL"}</definedName>
    <definedName name="FREI" hidden="1">{#N/A,#N/A,FALSE,"REK-S-TPL";#N/A,#N/A,FALSE,"REK-TPML";#N/A,#N/A,FALSE,"RAB-TEMPEL"}</definedName>
    <definedName name="FUS" localSheetId="0" hidden="1">{#N/A,#N/A,FALSE,"REK-S-TPL";#N/A,#N/A,FALSE,"REK-TPML";#N/A,#N/A,FALSE,"RAB-TEMPEL"}</definedName>
    <definedName name="FUS" hidden="1">{#N/A,#N/A,FALSE,"REK-S-TPL";#N/A,#N/A,FALSE,"REK-TPML";#N/A,#N/A,FALSE,"RAB-TEMPEL"}</definedName>
    <definedName name="gdgdgd" hidden="1">#REF!</definedName>
    <definedName name="hw" localSheetId="0" hidden="1">{#N/A,#N/A,FALSE,"REK-S-TPL";#N/A,#N/A,FALSE,"REK-TPML";#N/A,#N/A,FALSE,"RAB-TEMPEL"}</definedName>
    <definedName name="hw" hidden="1">{#N/A,#N/A,FALSE,"REK-S-TPL";#N/A,#N/A,FALSE,"REK-TPML";#N/A,#N/A,FALSE,"RAB-TEMPEL"}</definedName>
    <definedName name="Key_1" hidden="1">'[3]I-ME'!#REF!</definedName>
    <definedName name="lalalala" localSheetId="0" hidden="1">{#N/A,#N/A,FALSE,"REK";#N/A,#N/A,FALSE,"rab"}</definedName>
    <definedName name="lalalala" hidden="1">{#N/A,#N/A,FALSE,"REK";#N/A,#N/A,FALSE,"rab"}</definedName>
    <definedName name="NGESU" localSheetId="0" hidden="1">{#N/A,#N/A,FALSE,"REK-S-TPL";#N/A,#N/A,FALSE,"REK-TPML";#N/A,#N/A,FALSE,"RAB-TEMPEL"}</definedName>
    <definedName name="NGESU" hidden="1">{#N/A,#N/A,FALSE,"REK-S-TPL";#N/A,#N/A,FALSE,"REK-TPML";#N/A,#N/A,FALSE,"RAB-TEMPEL"}</definedName>
    <definedName name="Philip" localSheetId="0" hidden="1">{#N/A,#N/A,FALSE,"REK-S-TPL";#N/A,#N/A,FALSE,"REK-TPML";#N/A,#N/A,FALSE,"RAB-TEMPEL"}</definedName>
    <definedName name="Philip" hidden="1">{#N/A,#N/A,FALSE,"REK-S-TPL";#N/A,#N/A,FALSE,"REK-TPML";#N/A,#N/A,FALSE,"RAB-TEMPEL"}</definedName>
    <definedName name="QW" localSheetId="0" hidden="1">{#N/A,#N/A,FALSE,"REK";#N/A,#N/A,FALSE,"rab"}</definedName>
    <definedName name="QW" hidden="1">{#N/A,#N/A,FALSE,"REK";#N/A,#N/A,FALSE,"rab"}</definedName>
    <definedName name="sda" hidden="1">#REF!</definedName>
    <definedName name="sel" localSheetId="0" hidden="1">{#N/A,#N/A,FALSE,"REK-S-TPL";#N/A,#N/A,FALSE,"REK-TPML";#N/A,#N/A,FALSE,"RAB-TEMPEL"}</definedName>
    <definedName name="sel" hidden="1">{#N/A,#N/A,FALSE,"REK-S-TPL";#N/A,#N/A,FALSE,"REK-TPML";#N/A,#N/A,FALSE,"RAB-TEMPEL"}</definedName>
    <definedName name="spp" hidden="1">#REF!</definedName>
    <definedName name="toilet" localSheetId="0" hidden="1">{#N/A,#N/A,FALSE,"REK-S-TPL";#N/A,#N/A,FALSE,"REK-TPML";#N/A,#N/A,FALSE,"RAB-TEMPEL"}</definedName>
    <definedName name="toilet" hidden="1">{#N/A,#N/A,FALSE,"REK-S-TPL";#N/A,#N/A,FALSE,"REK-TPML";#N/A,#N/A,FALSE,"RAB-TEMPEL"}</definedName>
    <definedName name="tyu" localSheetId="0" hidden="1">{#N/A,#N/A,FALSE,"REK-S-TPL";#N/A,#N/A,FALSE,"REK-TPML";#N/A,#N/A,FALSE,"RAB-TEMPEL"}</definedName>
    <definedName name="tyu" hidden="1">{#N/A,#N/A,FALSE,"REK-S-TPL";#N/A,#N/A,FALSE,"REK-TPML";#N/A,#N/A,FALSE,"RAB-TEMPEL"}</definedName>
    <definedName name="vv" hidden="1">#REF!</definedName>
    <definedName name="wedus" hidden="1">#REF!</definedName>
    <definedName name="wrn.AAA." localSheetId="0" hidden="1">{#N/A,#N/A,FALSE,"REK";#N/A,#N/A,FALSE,"Bq-ARS"}</definedName>
    <definedName name="wrn.AAA." hidden="1">{#N/A,#N/A,FALSE,"REK";#N/A,#N/A,FALSE,"Bq-ARS"}</definedName>
    <definedName name="wrn.AAA.1" localSheetId="0" hidden="1">{#N/A,#N/A,FALSE,"REK";#N/A,#N/A,FALSE,"Bq-ARS"}</definedName>
    <definedName name="wrn.AAA.1" hidden="1">{#N/A,#N/A,FALSE,"REK";#N/A,#N/A,FALSE,"Bq-ARS"}</definedName>
    <definedName name="wrn.AAA.2" localSheetId="0" hidden="1">{#N/A,#N/A,FALSE,"REK";#N/A,#N/A,FALSE,"Bq-ARS"}</definedName>
    <definedName name="wrn.AAA.2" hidden="1">{#N/A,#N/A,FALSE,"REK";#N/A,#N/A,FALSE,"Bq-ARS"}</definedName>
    <definedName name="wrn.chi._.tiÆt." localSheetId="0" hidden="1">{#N/A,#N/A,FALSE,"Chi tiÆt"}</definedName>
    <definedName name="wrn.chi._.tiÆt." hidden="1">{#N/A,#N/A,FALSE,"Chi tiÆt"}</definedName>
    <definedName name="wrn.rtpl." localSheetId="0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1" localSheetId="0" hidden="1">{#N/A,#N/A,FALSE,"REK-S-TPL";#N/A,#N/A,FALSE,"REK-TPML";#N/A,#N/A,FALSE,"RAB-TEMPEL"}</definedName>
    <definedName name="wrn.rtpl.1" hidden="1">{#N/A,#N/A,FALSE,"REK-S-TPL";#N/A,#N/A,FALSE,"REK-TPML";#N/A,#N/A,FALSE,"RAB-TEMPEL"}</definedName>
    <definedName name="wrn.rtpl.2" localSheetId="0" hidden="1">{#N/A,#N/A,FALSE,"REK-S-TPL";#N/A,#N/A,FALSE,"REK-TPML";#N/A,#N/A,FALSE,"RAB-TEMPEL"}</definedName>
    <definedName name="wrn.rtpl.2" hidden="1">{#N/A,#N/A,FALSE,"REK-S-TPL";#N/A,#N/A,FALSE,"REK-TPML";#N/A,#N/A,FALSE,"RAB-TEMPEL"}</definedName>
    <definedName name="wrn.rtpl.3" localSheetId="0" hidden="1">{#N/A,#N/A,FALSE,"REK-S-TPL";#N/A,#N/A,FALSE,"REK-TPML";#N/A,#N/A,FALSE,"RAB-TEMPEL"}</definedName>
    <definedName name="wrn.rtpl.3" hidden="1">{#N/A,#N/A,FALSE,"REK-S-TPL";#N/A,#N/A,FALSE,"REK-TPML";#N/A,#N/A,FALSE,"RAB-TEMPEL"}</definedName>
    <definedName name="wrn.ry." localSheetId="0" hidden="1">{#N/A,#N/A,FALSE,"REK";#N/A,#N/A,FALSE,"rab"}</definedName>
    <definedName name="wrn.ry." hidden="1">{#N/A,#N/A,FALSE,"REK";#N/A,#N/A,FALSE,"rab"}</definedName>
    <definedName name="wrn.ry.1" localSheetId="0" hidden="1">{#N/A,#N/A,FALSE,"REK";#N/A,#N/A,FALSE,"rab"}</definedName>
    <definedName name="wrn.ry.1" hidden="1">{#N/A,#N/A,FALSE,"REK";#N/A,#N/A,FALSE,"rab"}</definedName>
    <definedName name="wrn.ry.3" localSheetId="0" hidden="1">{#N/A,#N/A,FALSE,"REK";#N/A,#N/A,FALSE,"rab"}</definedName>
    <definedName name="wrn.ry.3" hidden="1">{#N/A,#N/A,FALSE,"REK";#N/A,#N/A,FALSE,"rab"}</definedName>
    <definedName name="yayuk" hidden="1">#REF!</definedName>
    <definedName name="Z_60C09D59_E1B8_4DE0_84A5_C4D52EC877AC_.wvu.PrintArea" hidden="1">#REF!</definedName>
    <definedName name="Z_951381D6_C6D1_4C6C_A572_59CAF1F656FA_.wvu.Cols" hidden="1">#REF!</definedName>
    <definedName name="Z_951381D6_C6D1_4C6C_A572_59CAF1F656FA_.wvu.Row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25" l="1"/>
  <c r="J1" i="23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C62" i="18"/>
  <c r="H61" i="18"/>
  <c r="H60" i="18"/>
  <c r="C60" i="18"/>
  <c r="H59" i="18"/>
  <c r="H58" i="18"/>
  <c r="H57" i="18"/>
  <c r="H56" i="18"/>
  <c r="H55" i="18"/>
  <c r="H54" i="18"/>
  <c r="C54" i="18"/>
  <c r="H53" i="18"/>
  <c r="H52" i="18"/>
  <c r="C52" i="18"/>
  <c r="H51" i="18"/>
  <c r="H50" i="18"/>
  <c r="C50" i="18"/>
  <c r="H49" i="18"/>
  <c r="H48" i="18"/>
  <c r="H47" i="18"/>
  <c r="C47" i="18"/>
  <c r="H46" i="18"/>
  <c r="H45" i="18"/>
  <c r="C45" i="18"/>
  <c r="H44" i="18"/>
  <c r="H43" i="18"/>
  <c r="C43" i="18"/>
  <c r="H42" i="18"/>
  <c r="H41" i="18"/>
  <c r="C41" i="18"/>
  <c r="H40" i="18"/>
  <c r="H39" i="18"/>
  <c r="C39" i="18"/>
  <c r="H38" i="18"/>
  <c r="H37" i="18"/>
  <c r="H36" i="18"/>
  <c r="C36" i="18"/>
  <c r="H35" i="18"/>
  <c r="H34" i="18"/>
  <c r="C34" i="18"/>
  <c r="H33" i="18"/>
  <c r="H32" i="18"/>
  <c r="C32" i="18"/>
  <c r="H31" i="18"/>
  <c r="H30" i="18"/>
  <c r="C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6" i="12" l="1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5" i="12"/>
  <c r="M1" i="2"/>
  <c r="H1" i="11"/>
  <c r="I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3" authorId="0" shapeId="0" xr:uid="{F7034371-8FAC-4B7B-A7FC-BDA3975E0B28}">
      <text>
        <r>
          <rPr>
            <b/>
            <sz val="9"/>
            <color indexed="81"/>
            <rFont val="Tahoma"/>
            <charset val="1"/>
          </rPr>
          <t xml:space="preserve">REGISTRED BY:
</t>
        </r>
        <r>
          <rPr>
            <sz val="9"/>
            <color indexed="81"/>
            <rFont val="Tahoma"/>
            <family val="2"/>
          </rPr>
          <t>LOGIN GFS ADMIN AND
INPUT NEW RECORD OR UPDATE EXISTING RECORD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H3" authorId="0" shapeId="0" xr:uid="{161D2D3B-012E-446F-AAAD-1E02B1007F3B}">
      <text>
        <r>
          <rPr>
            <b/>
            <sz val="9"/>
            <color indexed="81"/>
            <rFont val="Tahoma"/>
            <charset val="1"/>
          </rPr>
          <t xml:space="preserve">REGISTRED BY:
</t>
        </r>
        <r>
          <rPr>
            <sz val="9"/>
            <color indexed="81"/>
            <rFont val="Tahoma"/>
            <family val="2"/>
          </rPr>
          <t>LOGIN GFS ADMIN AND
INPUT NEW RECORD OR UPDATE EXISTING RECORD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3" authorId="0" shapeId="0" xr:uid="{2204E947-60F9-4DB0-AF94-FBF504F5480C}">
      <text>
        <r>
          <rPr>
            <b/>
            <sz val="9"/>
            <color indexed="81"/>
            <rFont val="Tahoma"/>
            <family val="2"/>
          </rPr>
          <t xml:space="preserve">ROOM ALLOCATION:
</t>
        </r>
        <r>
          <rPr>
            <sz val="9"/>
            <color indexed="81"/>
            <rFont val="Tahoma"/>
            <family val="2"/>
          </rPr>
          <t>- REGULAR GUEST
- SPECIAL GUEST
- EXECUTIVE/ VIPs GUEST</t>
        </r>
      </text>
    </comment>
    <comment ref="F3" authorId="0" shapeId="0" xr:uid="{52146C47-D0A0-4AAF-8320-CCFE8B7BE05A}">
      <text>
        <r>
          <rPr>
            <b/>
            <sz val="9"/>
            <color indexed="81"/>
            <rFont val="Tahoma"/>
            <family val="2"/>
          </rPr>
          <t>ROOM STATUS:</t>
        </r>
        <r>
          <rPr>
            <sz val="9"/>
            <color indexed="81"/>
            <rFont val="Tahoma"/>
            <family val="2"/>
          </rPr>
          <t xml:space="preserve">
- READY
- UNDER REPAIRED
- OUT OF ORDER</t>
        </r>
      </text>
    </comment>
    <comment ref="G3" authorId="0" shapeId="0" xr:uid="{8DD2B638-3B24-44D0-B707-9B0FBAFEE077}">
      <text>
        <r>
          <rPr>
            <b/>
            <sz val="9"/>
            <color indexed="81"/>
            <rFont val="Tahoma"/>
            <charset val="1"/>
          </rPr>
          <t xml:space="preserve">REGISTRED BY:
</t>
        </r>
        <r>
          <rPr>
            <sz val="9"/>
            <color indexed="81"/>
            <rFont val="Tahoma"/>
            <family val="2"/>
          </rPr>
          <t>LOGIN GFS ADMIN AND
INPUT NEW RECORD OR UPDATE EXISTING RECORD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F3" authorId="0" shapeId="0" xr:uid="{10399055-9A8D-42F4-AFFC-D777A894705B}">
      <text>
        <r>
          <rPr>
            <b/>
            <sz val="9"/>
            <color indexed="81"/>
            <rFont val="Tahoma"/>
            <family val="2"/>
          </rPr>
          <t>ROOM STATUS:</t>
        </r>
        <r>
          <rPr>
            <sz val="9"/>
            <color indexed="81"/>
            <rFont val="Tahoma"/>
            <family val="2"/>
          </rPr>
          <t xml:space="preserve">
- READY
- UNDER REPAIRED
- OUT OF ORDER</t>
        </r>
      </text>
    </comment>
    <comment ref="G3" authorId="0" shapeId="0" xr:uid="{17A34B85-5B79-4935-810D-0F5A6BD5C5BA}">
      <text>
        <r>
          <rPr>
            <b/>
            <sz val="9"/>
            <color indexed="81"/>
            <rFont val="Tahoma"/>
            <charset val="1"/>
          </rPr>
          <t xml:space="preserve">REGISTRED BY:
</t>
        </r>
        <r>
          <rPr>
            <sz val="9"/>
            <color indexed="81"/>
            <rFont val="Tahoma"/>
            <family val="2"/>
          </rPr>
          <t>LOGIN GFS ADMIN AND
INPUT NEW RECORD OR UPDATE EXISTING RECORD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3" authorId="0" shapeId="0" xr:uid="{32F596FD-05C5-48F2-9EF9-6CFB217FF2C0}">
      <text>
        <r>
          <rPr>
            <b/>
            <sz val="9"/>
            <color indexed="81"/>
            <rFont val="Tahoma"/>
            <family val="2"/>
          </rPr>
          <t>CANTEEN STATUS:</t>
        </r>
        <r>
          <rPr>
            <sz val="9"/>
            <color indexed="81"/>
            <rFont val="Tahoma"/>
            <family val="2"/>
          </rPr>
          <t xml:space="preserve">
- READY
- UNDER REPAIRED
- OUT OF ORDER</t>
        </r>
      </text>
    </comment>
    <comment ref="E3" authorId="0" shapeId="0" xr:uid="{B08D0AA1-CCB2-41A2-A658-82FA697FB937}">
      <text>
        <r>
          <rPr>
            <b/>
            <sz val="9"/>
            <color indexed="81"/>
            <rFont val="Tahoma"/>
            <charset val="1"/>
          </rPr>
          <t xml:space="preserve">REGISTRED BY:
</t>
        </r>
        <r>
          <rPr>
            <sz val="9"/>
            <color indexed="81"/>
            <rFont val="Tahoma"/>
            <family val="2"/>
          </rPr>
          <t>LOGIN GFS ADMIN AND
INPUT NEW RECORD OR UPDATE EXISTING RECORD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3" authorId="0" shapeId="0" xr:uid="{2648124E-98E7-46F0-A3D5-60CE7C1844E7}">
      <text>
        <r>
          <rPr>
            <b/>
            <sz val="9"/>
            <color indexed="81"/>
            <rFont val="Tahoma"/>
            <family val="2"/>
          </rPr>
          <t>DP STATUS:</t>
        </r>
        <r>
          <rPr>
            <sz val="9"/>
            <color indexed="81"/>
            <rFont val="Tahoma"/>
            <family val="2"/>
          </rPr>
          <t xml:space="preserve">
- READY
- UNDER REPAIRED
- OUT OF ORDER</t>
        </r>
      </text>
    </comment>
    <comment ref="E3" authorId="0" shapeId="0" xr:uid="{BC8ABDB3-0F1F-40DC-B08A-6EFABFC3BF0B}">
      <text>
        <r>
          <rPr>
            <b/>
            <sz val="9"/>
            <color indexed="81"/>
            <rFont val="Tahoma"/>
            <charset val="1"/>
          </rPr>
          <t xml:space="preserve">REGISTRED BY:
</t>
        </r>
        <r>
          <rPr>
            <sz val="9"/>
            <color indexed="81"/>
            <rFont val="Tahoma"/>
            <family val="2"/>
          </rPr>
          <t>LOGIN GFS ADMIN AND
INPUT NEW RECORD OR UPDATE EXISTING RECORD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G3" authorId="0" shapeId="0" xr:uid="{B68AD585-4BE2-4B27-8913-0E2829AFFC2C}">
      <text>
        <r>
          <rPr>
            <b/>
            <sz val="9"/>
            <color indexed="81"/>
            <rFont val="Tahoma"/>
            <charset val="1"/>
          </rPr>
          <t xml:space="preserve">REGISTRED BY:
</t>
        </r>
        <r>
          <rPr>
            <sz val="9"/>
            <color indexed="81"/>
            <rFont val="Tahoma"/>
            <family val="2"/>
          </rPr>
          <t>LOGIN GFS ADMIN AND
INPUT NEW RECORD OR UPDATE EXISTING RECORD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3" authorId="0" shapeId="0" xr:uid="{0AA9F43F-C0D0-49D0-A3C5-C7D51F103CCD}">
      <text>
        <r>
          <rPr>
            <b/>
            <sz val="9"/>
            <color indexed="81"/>
            <rFont val="Tahoma"/>
            <family val="2"/>
          </rPr>
          <t>PERSONAL IDENTIFICATION:
-</t>
        </r>
        <r>
          <rPr>
            <sz val="9"/>
            <color indexed="81"/>
            <rFont val="Tahoma"/>
            <family val="2"/>
          </rPr>
          <t xml:space="preserve"> RESIDENCE CARD (NIK)
- DRIVING LICENSE CARD (SIM)
- EMPLOYEE BADGE
- PASSPORT</t>
        </r>
      </text>
    </comment>
    <comment ref="I3" authorId="0" shapeId="0" xr:uid="{DC7C9C8D-C891-404B-96D3-F7C9604F161E}">
      <text>
        <r>
          <rPr>
            <b/>
            <sz val="9"/>
            <color indexed="81"/>
            <rFont val="Tahoma"/>
            <family val="2"/>
          </rPr>
          <t>LEVEL CATEGORY:</t>
        </r>
        <r>
          <rPr>
            <sz val="9"/>
            <color indexed="81"/>
            <rFont val="Tahoma"/>
            <family val="2"/>
          </rPr>
          <t xml:space="preserve">
- NON STAFF
- STAFF
- SENIOR STAFF</t>
        </r>
      </text>
    </comment>
    <comment ref="K3" authorId="0" shapeId="0" xr:uid="{40F2E45B-167E-40B1-A851-68D1A85CB51F}">
      <text>
        <r>
          <rPr>
            <b/>
            <sz val="9"/>
            <color indexed="81"/>
            <rFont val="Tahoma"/>
            <charset val="1"/>
          </rPr>
          <t xml:space="preserve">GUEST CATEGORY:
</t>
        </r>
        <r>
          <rPr>
            <sz val="9"/>
            <color indexed="81"/>
            <rFont val="Tahoma"/>
            <family val="2"/>
          </rPr>
          <t>- REGULAR GUEST
- SPECIAL GUEST
- EXECUTIVE/ VIPs GUEST</t>
        </r>
      </text>
    </comment>
    <comment ref="L3" authorId="0" shapeId="0" xr:uid="{72B8A142-D6F4-43EC-8BAB-841F0CDF5556}">
      <text>
        <r>
          <rPr>
            <b/>
            <sz val="9"/>
            <color indexed="81"/>
            <rFont val="Tahoma"/>
            <family val="2"/>
          </rPr>
          <t xml:space="preserve">MEALS PACKAGES:
</t>
        </r>
        <r>
          <rPr>
            <sz val="9"/>
            <color indexed="81"/>
            <rFont val="Tahoma"/>
            <family val="2"/>
          </rPr>
          <t>- STANDARD BUFFET
- ROOM DELIVERY
- VIP BUFFET</t>
        </r>
      </text>
    </comment>
    <comment ref="M3" authorId="0" shapeId="0" xr:uid="{303CCAE2-AEEC-4DD2-882D-609C79E96F69}">
      <text>
        <r>
          <rPr>
            <b/>
            <sz val="9"/>
            <color indexed="81"/>
            <rFont val="Tahoma"/>
            <charset val="1"/>
          </rPr>
          <t xml:space="preserve">DELIVERY POINT:
</t>
        </r>
        <r>
          <rPr>
            <sz val="9"/>
            <color indexed="81"/>
            <rFont val="Tahoma"/>
            <family val="2"/>
          </rPr>
          <t>- CANTEEN
- STAY MESS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P3" authorId="0" shapeId="0" xr:uid="{5B5E30D1-6C9B-4730-B86D-6613E783156B}">
      <text>
        <r>
          <rPr>
            <b/>
            <sz val="9"/>
            <color indexed="81"/>
            <rFont val="Tahoma"/>
            <charset val="1"/>
          </rPr>
          <t xml:space="preserve">REGISTRED BY:
</t>
        </r>
        <r>
          <rPr>
            <sz val="9"/>
            <color indexed="81"/>
            <rFont val="Tahoma"/>
            <family val="2"/>
          </rPr>
          <t>LOGIN GFS ADMIN AND
INPUT NEW RECORD OR UPDATE EXISTING RECORD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G3" authorId="0" shapeId="0" xr:uid="{8B39922C-C88D-40D9-AE85-89C19F9B4119}">
      <text>
        <r>
          <rPr>
            <b/>
            <sz val="9"/>
            <color indexed="81"/>
            <rFont val="Tahoma"/>
            <family val="2"/>
          </rPr>
          <t>ACTION:
-</t>
        </r>
        <r>
          <rPr>
            <sz val="9"/>
            <color indexed="81"/>
            <rFont val="Tahoma"/>
            <family val="2"/>
          </rPr>
          <t xml:space="preserve"> SCHEDULLED
- RE-SCHEDULLEDE
- CANCELLED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I3" authorId="0" shapeId="0" xr:uid="{37049062-6D4B-4608-86B8-BD3864472749}">
      <text>
        <r>
          <rPr>
            <b/>
            <sz val="9"/>
            <color indexed="81"/>
            <rFont val="Tahoma"/>
            <family val="2"/>
          </rPr>
          <t>ACTION:
-</t>
        </r>
        <r>
          <rPr>
            <sz val="9"/>
            <color indexed="81"/>
            <rFont val="Tahoma"/>
            <family val="2"/>
          </rPr>
          <t xml:space="preserve"> SCHEDULLED
- RE-SCHEDULLEDE
- CANCELLED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F3" authorId="0" shapeId="0" xr:uid="{D6CF7FC4-6532-4C23-9E58-F84DB3B94D23}">
      <text>
        <r>
          <rPr>
            <b/>
            <sz val="9"/>
            <color indexed="81"/>
            <rFont val="Tahoma"/>
            <family val="2"/>
          </rPr>
          <t>GUEST STATUS:
-</t>
        </r>
        <r>
          <rPr>
            <sz val="9"/>
            <color indexed="81"/>
            <rFont val="Tahoma"/>
            <family val="2"/>
          </rPr>
          <t xml:space="preserve"> SCHEDULLED
- ARRIVE
- LEAVE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3" authorId="0" shapeId="0" xr:uid="{E1D07A42-458A-4455-B680-DDBA7315A076}">
      <text>
        <r>
          <rPr>
            <b/>
            <sz val="9"/>
            <color indexed="81"/>
            <rFont val="Tahoma"/>
            <family val="2"/>
          </rPr>
          <t xml:space="preserve">ROOM ALLOCATION:
</t>
        </r>
        <r>
          <rPr>
            <sz val="9"/>
            <color indexed="81"/>
            <rFont val="Tahoma"/>
            <family val="2"/>
          </rPr>
          <t>- REGULAR GUEST
- SPECIAL GUEST
- EXECUTIVE/ VIPs GUEST</t>
        </r>
      </text>
    </comment>
    <comment ref="I3" authorId="0" shapeId="0" xr:uid="{A4AD1538-BF85-4A3A-9497-F222878DD6F8}">
      <text>
        <r>
          <rPr>
            <b/>
            <sz val="9"/>
            <color indexed="81"/>
            <rFont val="Tahoma"/>
            <family val="2"/>
          </rPr>
          <t xml:space="preserve">STATUS:
</t>
        </r>
        <r>
          <rPr>
            <sz val="9"/>
            <color indexed="81"/>
            <rFont val="Tahoma"/>
            <family val="2"/>
          </rPr>
          <t>- FULL OCCUPIED
- VACANT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L3" authorId="0" shapeId="0" xr:uid="{F9E6D9B8-B20B-493C-BA0D-222E0FEF64F3}">
      <text>
        <r>
          <rPr>
            <b/>
            <sz val="9"/>
            <color indexed="81"/>
            <rFont val="Tahoma"/>
            <charset val="1"/>
          </rPr>
          <t xml:space="preserve">OCCUPANTS CATEGORY:
</t>
        </r>
        <r>
          <rPr>
            <sz val="9"/>
            <color indexed="81"/>
            <rFont val="Tahoma"/>
            <family val="2"/>
          </rPr>
          <t>- REGULAR GUEST
- SPECIAL GUEST
- EXECUTIVE/ VIPs GUEST</t>
        </r>
      </text>
    </comment>
    <comment ref="M3" authorId="0" shapeId="0" xr:uid="{C97014C3-7DF0-48D4-9CDE-8FF17CA77293}">
      <text>
        <r>
          <rPr>
            <b/>
            <sz val="9"/>
            <color indexed="81"/>
            <rFont val="Tahoma"/>
            <family val="2"/>
          </rPr>
          <t>BOARDING STATUS:</t>
        </r>
        <r>
          <rPr>
            <sz val="9"/>
            <color indexed="81"/>
            <rFont val="Tahoma"/>
            <family val="2"/>
          </rPr>
          <t xml:space="preserve">
- ON BOARD
- OFF BOARD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3" authorId="0" shapeId="0" xr:uid="{D7757B48-0012-4AA1-802B-BA0FA44D4374}">
      <text>
        <r>
          <rPr>
            <b/>
            <sz val="9"/>
            <color indexed="81"/>
            <rFont val="Tahoma"/>
            <family val="2"/>
          </rPr>
          <t xml:space="preserve">MEALS PACKAGES:
</t>
        </r>
        <r>
          <rPr>
            <sz val="9"/>
            <color indexed="81"/>
            <rFont val="Tahoma"/>
            <family val="2"/>
          </rPr>
          <t>- STANDARD BUFFET
- ROOM DELIVERY
- VIP BUFFET</t>
        </r>
      </text>
    </comment>
    <comment ref="E3" authorId="0" shapeId="0" xr:uid="{8B719B09-3D23-4DF7-AC48-034B6A1341B1}">
      <text>
        <r>
          <rPr>
            <b/>
            <sz val="9"/>
            <color indexed="81"/>
            <rFont val="Tahoma"/>
            <family val="2"/>
          </rPr>
          <t xml:space="preserve">MEAL TIME:
</t>
        </r>
        <r>
          <rPr>
            <sz val="9"/>
            <color indexed="81"/>
            <rFont val="Tahoma"/>
            <family val="2"/>
          </rPr>
          <t>- BREAKFAST
- LUNCH
- DINNER</t>
        </r>
      </text>
    </comment>
    <comment ref="G3" authorId="0" shapeId="0" xr:uid="{8F471662-54D1-4349-835A-43C5507BBAF0}">
      <text>
        <r>
          <rPr>
            <b/>
            <sz val="9"/>
            <color indexed="81"/>
            <rFont val="Tahoma"/>
            <family val="2"/>
          </rPr>
          <t>ACCOMODATION STATUS:</t>
        </r>
        <r>
          <rPr>
            <sz val="9"/>
            <color indexed="81"/>
            <rFont val="Tahoma"/>
            <family val="2"/>
          </rPr>
          <t xml:space="preserve">
- PROVIDED
- NOT PROVIDED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3" authorId="0" shapeId="0" xr:uid="{E59B34B9-432B-4312-AB66-C2871D8C8BEB}">
      <text>
        <r>
          <rPr>
            <b/>
            <sz val="9"/>
            <color indexed="81"/>
            <rFont val="Tahoma"/>
            <family val="2"/>
          </rPr>
          <t xml:space="preserve">SERVICE PACKAGES:
</t>
        </r>
        <r>
          <rPr>
            <sz val="9"/>
            <color indexed="81"/>
            <rFont val="Tahoma"/>
            <family val="2"/>
          </rPr>
          <t>- REGULAR
- EXPRESS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3" authorId="0" shapeId="0" xr:uid="{02D7D51D-7841-42BF-8D9F-4F6677B060C9}">
      <text>
        <r>
          <rPr>
            <b/>
            <sz val="9"/>
            <color indexed="81"/>
            <rFont val="Tahoma"/>
            <family val="2"/>
          </rPr>
          <t xml:space="preserve">MEALS PACKAGES:
</t>
        </r>
        <r>
          <rPr>
            <sz val="9"/>
            <color indexed="81"/>
            <rFont val="Tahoma"/>
            <family val="2"/>
          </rPr>
          <t>- STANDARD BUFFET
- ROOM DELIVERY
- VIP BUFFET</t>
        </r>
      </text>
    </comment>
    <comment ref="D3" authorId="0" shapeId="0" xr:uid="{C2A9CA80-8972-4A8D-ADA6-6E60469C7964}">
      <text>
        <r>
          <rPr>
            <b/>
            <sz val="9"/>
            <color indexed="81"/>
            <rFont val="Tahoma"/>
            <family val="2"/>
          </rPr>
          <t xml:space="preserve">MEAL TIME:
</t>
        </r>
        <r>
          <rPr>
            <sz val="9"/>
            <color indexed="81"/>
            <rFont val="Tahoma"/>
            <family val="2"/>
          </rPr>
          <t>- BREAKFAST
- LUNCH
- DINNER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F3" authorId="0" shapeId="0" xr:uid="{0C6BE1B5-2F8C-407E-ACBF-CD2E725C49E5}">
      <text>
        <r>
          <rPr>
            <b/>
            <sz val="9"/>
            <color indexed="81"/>
            <rFont val="Tahoma"/>
            <family val="2"/>
          </rPr>
          <t xml:space="preserve">MEALS PACKAGES:
</t>
        </r>
        <r>
          <rPr>
            <sz val="9"/>
            <color indexed="81"/>
            <rFont val="Tahoma"/>
            <family val="2"/>
          </rPr>
          <t>- STANDARD BUFFET
- ROOM DELIVERY
- VIP BUFFET</t>
        </r>
      </text>
    </comment>
    <comment ref="G3" authorId="0" shapeId="0" xr:uid="{06CBA029-715A-4445-89FE-F8605B94E279}">
      <text>
        <r>
          <rPr>
            <b/>
            <sz val="9"/>
            <color indexed="81"/>
            <rFont val="Tahoma"/>
            <charset val="1"/>
          </rPr>
          <t xml:space="preserve">DELIVERY POINT:
</t>
        </r>
        <r>
          <rPr>
            <sz val="9"/>
            <color indexed="81"/>
            <rFont val="Tahoma"/>
            <family val="2"/>
          </rPr>
          <t>- CANTEEN
- STAY MESS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F3" authorId="0" shapeId="0" xr:uid="{5ED08061-C30E-420F-A527-02B814DE579C}">
      <text>
        <r>
          <rPr>
            <b/>
            <sz val="9"/>
            <color indexed="81"/>
            <rFont val="Tahoma"/>
            <family val="2"/>
          </rPr>
          <t xml:space="preserve">MEALS PACKAGES:
</t>
        </r>
        <r>
          <rPr>
            <sz val="9"/>
            <color indexed="81"/>
            <rFont val="Tahoma"/>
            <family val="2"/>
          </rPr>
          <t>- STANDARD BUFFET
- ROOM DELIVERY
- VIP BUFFET</t>
        </r>
      </text>
    </comment>
    <comment ref="G3" authorId="0" shapeId="0" xr:uid="{0AA3F7C1-9F2F-4627-AC78-3E18D0A77279}">
      <text>
        <r>
          <rPr>
            <b/>
            <sz val="9"/>
            <color indexed="81"/>
            <rFont val="Tahoma"/>
            <charset val="1"/>
          </rPr>
          <t xml:space="preserve">DELIVERY POINT:
</t>
        </r>
        <r>
          <rPr>
            <sz val="9"/>
            <color indexed="81"/>
            <rFont val="Tahoma"/>
            <family val="2"/>
          </rPr>
          <t>- CANTEEN
- STAY MESS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3" authorId="0" shapeId="0" xr:uid="{188E068C-6C52-421C-B296-8FAC93D719BF}">
      <text>
        <r>
          <rPr>
            <b/>
            <sz val="9"/>
            <color indexed="81"/>
            <rFont val="Tahoma"/>
            <family val="2"/>
          </rPr>
          <t xml:space="preserve">MEALS PACKAGES:
</t>
        </r>
        <r>
          <rPr>
            <sz val="9"/>
            <color indexed="81"/>
            <rFont val="Tahoma"/>
            <family val="2"/>
          </rPr>
          <t>- STANDARD BUFFET
- ROOM DELIVERY
- VIP BUFFET</t>
        </r>
      </text>
    </comment>
    <comment ref="E3" authorId="0" shapeId="0" xr:uid="{5B9EBCA3-B798-4317-92BB-8D53DB815D12}">
      <text>
        <r>
          <rPr>
            <b/>
            <sz val="9"/>
            <color indexed="81"/>
            <rFont val="Tahoma"/>
            <family val="2"/>
          </rPr>
          <t xml:space="preserve">MEAL TIME:
</t>
        </r>
        <r>
          <rPr>
            <sz val="9"/>
            <color indexed="81"/>
            <rFont val="Tahoma"/>
            <family val="2"/>
          </rPr>
          <t>- BREAKFAST
- LUNCH
- DINNER</t>
        </r>
      </text>
    </comment>
    <comment ref="G3" authorId="0" shapeId="0" xr:uid="{FF899A0A-2C0B-41A6-9F33-44B399E4F170}">
      <text>
        <r>
          <rPr>
            <b/>
            <sz val="9"/>
            <color indexed="81"/>
            <rFont val="Tahoma"/>
            <family val="2"/>
          </rPr>
          <t>ACCOMODATION STATUS:</t>
        </r>
        <r>
          <rPr>
            <sz val="9"/>
            <color indexed="81"/>
            <rFont val="Tahoma"/>
            <family val="2"/>
          </rPr>
          <t xml:space="preserve">
- PROVIDED
- NOT PROVIDED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3" authorId="0" shapeId="0" xr:uid="{D3E41B26-4FF4-4E56-B860-4516887BB7F1}">
      <text>
        <r>
          <rPr>
            <b/>
            <sz val="9"/>
            <color indexed="81"/>
            <rFont val="Tahoma"/>
            <family val="2"/>
          </rPr>
          <t xml:space="preserve">SERVICE PACKAGES:
</t>
        </r>
        <r>
          <rPr>
            <sz val="9"/>
            <color indexed="81"/>
            <rFont val="Tahoma"/>
            <family val="2"/>
          </rPr>
          <t>- REGULAR
- EXPRESS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3" authorId="0" shapeId="0" xr:uid="{532D5896-A86B-4B6F-9EF7-E7CB9AF90B62}">
      <text>
        <r>
          <rPr>
            <b/>
            <sz val="9"/>
            <color indexed="81"/>
            <rFont val="Tahoma"/>
            <family val="2"/>
          </rPr>
          <t xml:space="preserve">LAUNDRY BAG STATUS: </t>
        </r>
        <r>
          <rPr>
            <sz val="9"/>
            <color indexed="81"/>
            <rFont val="Tahoma"/>
            <family val="2"/>
          </rPr>
          <t xml:space="preserve">
- ACCEPTED
- REJECTED</t>
        </r>
      </text>
    </comment>
  </commentList>
</comments>
</file>

<file path=xl/sharedStrings.xml><?xml version="1.0" encoding="utf-8"?>
<sst xmlns="http://schemas.openxmlformats.org/spreadsheetml/2006/main" count="5866" uniqueCount="1659">
  <si>
    <t>ROOM NO</t>
  </si>
  <si>
    <t>AVAILABLE</t>
  </si>
  <si>
    <t>EMPLOYEE</t>
  </si>
  <si>
    <t>REMARKS</t>
  </si>
  <si>
    <t>LIVING RESIDENCE 1</t>
  </si>
  <si>
    <t>SUNARTO URJOYO PURBA</t>
  </si>
  <si>
    <t>CHRISTIAN BAMBANG KHRISNA MUKTI</t>
  </si>
  <si>
    <t>MR. ZHENG BU DONG</t>
  </si>
  <si>
    <t>TA'DUNG</t>
  </si>
  <si>
    <t>OPERATIONAL SMELTER SPECIALIST</t>
  </si>
  <si>
    <t>REINHARD SIAHAAN</t>
  </si>
  <si>
    <t>SUWARTO PRAWIROATMODJO</t>
  </si>
  <si>
    <t>ANDRE CH MR DAENUWY</t>
  </si>
  <si>
    <t>SLAMET SURYANTO</t>
  </si>
  <si>
    <t>SYAMSI BUANG</t>
  </si>
  <si>
    <t>ROIMON BARUS</t>
  </si>
  <si>
    <t xml:space="preserve">YARIS TANDI </t>
  </si>
  <si>
    <t>ALIMUDDIN TOLA</t>
  </si>
  <si>
    <t>BUSYAIRI</t>
  </si>
  <si>
    <t>IMRAN ROSJADI PABITJARA</t>
  </si>
  <si>
    <t>OR SR. SPECIALIST</t>
  </si>
  <si>
    <t>AGUSTINUS LONTOH</t>
  </si>
  <si>
    <t>ANDI MAPPASELA</t>
  </si>
  <si>
    <t>LUSYAN TADUNG</t>
  </si>
  <si>
    <t>MANAGER UTILITIES</t>
  </si>
  <si>
    <t>ALFINA WIJANARNO</t>
  </si>
  <si>
    <t>ALIM SIDDIQ SOLEH</t>
  </si>
  <si>
    <t>VACANT</t>
  </si>
  <si>
    <t>LIVING RESIDENCE 2</t>
  </si>
  <si>
    <t>NON STAFF</t>
  </si>
  <si>
    <t>LIVING RESIDENCE 3</t>
  </si>
  <si>
    <t>PREFAB B1</t>
  </si>
  <si>
    <t>PREFAB B2</t>
  </si>
  <si>
    <t>PREFAB C1</t>
  </si>
  <si>
    <t>PREFAB C2</t>
  </si>
  <si>
    <t>PREFAB D1</t>
  </si>
  <si>
    <t>PREFAB D2</t>
  </si>
  <si>
    <t>PREFAB E1</t>
  </si>
  <si>
    <t>PREFAB E2</t>
  </si>
  <si>
    <t>SAMAENRE RESIDENCE</t>
  </si>
  <si>
    <t>MANADO VVIP-A1</t>
  </si>
  <si>
    <t>MANADO VVIP-A2</t>
  </si>
  <si>
    <t>MANADO B2</t>
  </si>
  <si>
    <t>MANADO B3</t>
  </si>
  <si>
    <t>MANADO B4</t>
  </si>
  <si>
    <t>MANADO B5</t>
  </si>
  <si>
    <t>MANADO B6</t>
  </si>
  <si>
    <t>MANADO C1</t>
  </si>
  <si>
    <t>MANADO C2</t>
  </si>
  <si>
    <t>STAFF</t>
  </si>
  <si>
    <t>MANADO C3</t>
  </si>
  <si>
    <t>MANADO C4</t>
  </si>
  <si>
    <t>SENIOR STAFF</t>
  </si>
  <si>
    <t>MANADO C5</t>
  </si>
  <si>
    <t>MANADO C6</t>
  </si>
  <si>
    <t>MANADO C7</t>
  </si>
  <si>
    <t>ADVISOR</t>
  </si>
  <si>
    <t>MANADO C8</t>
  </si>
  <si>
    <t>MANADO C9</t>
  </si>
  <si>
    <t>MANADO C10</t>
  </si>
  <si>
    <t>MANADO C11</t>
  </si>
  <si>
    <t>PREFAB B</t>
  </si>
  <si>
    <t>SAMAENRE VILLAGE</t>
  </si>
  <si>
    <t>MESS SAMAENRE 2</t>
  </si>
  <si>
    <t>MESS SAMAENRE 3</t>
  </si>
  <si>
    <t>MESS TNI</t>
  </si>
  <si>
    <t>MESS PAMOBVIT</t>
  </si>
  <si>
    <t>SAMAENRE EX MESS PP</t>
  </si>
  <si>
    <t>BARAK A</t>
  </si>
  <si>
    <t>BARAK B</t>
  </si>
  <si>
    <t>BARAK C</t>
  </si>
  <si>
    <t>BARAK 1</t>
  </si>
  <si>
    <t>BARAK 2</t>
  </si>
  <si>
    <t>PT. CMP</t>
  </si>
  <si>
    <t>DORMITORY A2</t>
  </si>
  <si>
    <t>DORMITORY A3</t>
  </si>
  <si>
    <t>DORMITORY B1</t>
  </si>
  <si>
    <t>DORMITORY R1</t>
  </si>
  <si>
    <t>DORMITORY R2</t>
  </si>
  <si>
    <t>NO</t>
  </si>
  <si>
    <t>PT. CNI</t>
  </si>
  <si>
    <t>PREFAB A</t>
  </si>
  <si>
    <t>LANDED HOUSE-01</t>
  </si>
  <si>
    <t>LANDED HOUSE-02</t>
  </si>
  <si>
    <t>LANDED HOUSE-03</t>
  </si>
  <si>
    <t>LANDED HOUSE-04</t>
  </si>
  <si>
    <t>LANDED HOUSE-05</t>
  </si>
  <si>
    <t>LANDED HOUSE-06</t>
  </si>
  <si>
    <t>LANDED HOUSE-07</t>
  </si>
  <si>
    <t>LANDED HOUSE-08</t>
  </si>
  <si>
    <t>LANDED HOUSE-09</t>
  </si>
  <si>
    <t>LANDED HOUSE-10</t>
  </si>
  <si>
    <t>RENTAL</t>
  </si>
  <si>
    <t>ROOMS</t>
  </si>
  <si>
    <t>OWNED BY CERIA</t>
  </si>
  <si>
    <t>MESS SAMAENRE 1</t>
  </si>
  <si>
    <t>MESS EXTERNAL</t>
  </si>
  <si>
    <t>ROOM STATUS</t>
  </si>
  <si>
    <t>CANTEEN STATUS</t>
  </si>
  <si>
    <t>MESS</t>
  </si>
  <si>
    <t>MANAGED BY</t>
  </si>
  <si>
    <t>JOB</t>
  </si>
  <si>
    <t>INSTITUTION/ COMPANY</t>
  </si>
  <si>
    <t>CMP.MES.LH.01</t>
  </si>
  <si>
    <t>CMP.MES.LH.02</t>
  </si>
  <si>
    <t>CMP.MES.LH.03</t>
  </si>
  <si>
    <t>CMP.MES.LH.04</t>
  </si>
  <si>
    <t>CMP.MES.LH.05</t>
  </si>
  <si>
    <t>CMP.MES.LH.06</t>
  </si>
  <si>
    <t>CMP.MES.LH.07</t>
  </si>
  <si>
    <t>CMP.MES.LH.08</t>
  </si>
  <si>
    <t>CMP.MES.LH.09</t>
  </si>
  <si>
    <t>CMP.MES.LH.10</t>
  </si>
  <si>
    <t>CMP.MES.DM.A2</t>
  </si>
  <si>
    <t>CMP.MES.DM.A3</t>
  </si>
  <si>
    <t>CMP.MES.DM.B1</t>
  </si>
  <si>
    <t>CMP.MES.DM.R1</t>
  </si>
  <si>
    <t>CMP.MES.DM.R2</t>
  </si>
  <si>
    <t>CNI.MES.VP.A1</t>
  </si>
  <si>
    <t>CNI.MES.VP.A2</t>
  </si>
  <si>
    <t>CNI.MES.MB.01</t>
  </si>
  <si>
    <t>CNI.MES.MB.02</t>
  </si>
  <si>
    <t>CNI.MES.MB.03</t>
  </si>
  <si>
    <t>CNI.MES.MB.04</t>
  </si>
  <si>
    <t>CNI.MES.MB.05</t>
  </si>
  <si>
    <t>CNI.MES.MB.06</t>
  </si>
  <si>
    <t>CNI.MES.MC.01</t>
  </si>
  <si>
    <t>CNI.MES.MC.02</t>
  </si>
  <si>
    <t>CNI.MES.MC.03</t>
  </si>
  <si>
    <t>CNI.MES.MC.04</t>
  </si>
  <si>
    <t>CNI.MES.MC.05</t>
  </si>
  <si>
    <t>CNI.MES.MC.06</t>
  </si>
  <si>
    <t>CNI.MES.MC.07</t>
  </si>
  <si>
    <t>CNI.MES.MC.08</t>
  </si>
  <si>
    <t>CNI.MES.MC.09</t>
  </si>
  <si>
    <t>CNI.MES.MC.10</t>
  </si>
  <si>
    <t>CNI.MES.MC.11</t>
  </si>
  <si>
    <t>CNI.MES.SM.01</t>
  </si>
  <si>
    <t>CNI.MES.SM.02</t>
  </si>
  <si>
    <t>CNI.MES.SM.03</t>
  </si>
  <si>
    <t>CNI.MES.TN.01</t>
  </si>
  <si>
    <t>CNI.MES.OV.01</t>
  </si>
  <si>
    <t>CNI.MES.BR.01</t>
  </si>
  <si>
    <t>CNI.MES.BR.02</t>
  </si>
  <si>
    <t>CNI.MES.BR.A1</t>
  </si>
  <si>
    <t>CNI.MES.BR.B1</t>
  </si>
  <si>
    <t>CNI.MES.BR.C1</t>
  </si>
  <si>
    <t>CNI.MES.PF.A1</t>
  </si>
  <si>
    <t>CNI.MES.PF.B1</t>
  </si>
  <si>
    <t>CNI.MES.PF.C1</t>
  </si>
  <si>
    <t>CNI.MES.PF.C2</t>
  </si>
  <si>
    <t>CMP.MES.PF.B1</t>
  </si>
  <si>
    <t>CMP.MES.PF.B2</t>
  </si>
  <si>
    <t>CMP.MES.PF.C1</t>
  </si>
  <si>
    <t>CMP.MES.PF.C2</t>
  </si>
  <si>
    <t>CMP.MES.PF.D1</t>
  </si>
  <si>
    <t>CMP.MES.PF.D2</t>
  </si>
  <si>
    <t>CMP.MES.PF.E1</t>
  </si>
  <si>
    <t>CMP.MES.PF.E2</t>
  </si>
  <si>
    <t>MANADO B1</t>
  </si>
  <si>
    <t>LH.01.01</t>
  </si>
  <si>
    <t>LH.01.02</t>
  </si>
  <si>
    <t>LH.02.01</t>
  </si>
  <si>
    <t>LH.02.02</t>
  </si>
  <si>
    <t>LH.03.01</t>
  </si>
  <si>
    <t>LH.03.02</t>
  </si>
  <si>
    <t>LH.04.01</t>
  </si>
  <si>
    <t>LH.04.02</t>
  </si>
  <si>
    <t>LH.05.01</t>
  </si>
  <si>
    <t>LH.05.02</t>
  </si>
  <si>
    <t>LH.06.01</t>
  </si>
  <si>
    <t>LH.06.02</t>
  </si>
  <si>
    <t>LH-07.01</t>
  </si>
  <si>
    <t>LH-07.02</t>
  </si>
  <si>
    <t>LH.08.01</t>
  </si>
  <si>
    <t>LH.08.02</t>
  </si>
  <si>
    <t>LH.09.01</t>
  </si>
  <si>
    <t>LH.09.02</t>
  </si>
  <si>
    <t>LH.10.01</t>
  </si>
  <si>
    <t>LH.10.02</t>
  </si>
  <si>
    <t>DM.A2.101</t>
  </si>
  <si>
    <t>DM.A2.102</t>
  </si>
  <si>
    <t>DM.A2.103</t>
  </si>
  <si>
    <t>DM.A2.104</t>
  </si>
  <si>
    <t>DM.A2.105</t>
  </si>
  <si>
    <t>DM.A2.106</t>
  </si>
  <si>
    <t>DM.A2.107</t>
  </si>
  <si>
    <t>DM.A2.108</t>
  </si>
  <si>
    <t>DM.A2.109</t>
  </si>
  <si>
    <t>DM.A2.110</t>
  </si>
  <si>
    <t>DM.A2.111</t>
  </si>
  <si>
    <t>DM.A2.112</t>
  </si>
  <si>
    <t>DM.A2.113</t>
  </si>
  <si>
    <t>DM.A2.114</t>
  </si>
  <si>
    <t>DM.A2.115</t>
  </si>
  <si>
    <t>DM.A2.116</t>
  </si>
  <si>
    <t>DM.A2.117</t>
  </si>
  <si>
    <t>DM.A2.118</t>
  </si>
  <si>
    <t>DM.A2.119</t>
  </si>
  <si>
    <t>DM.A2.120</t>
  </si>
  <si>
    <t>DM.A2.201</t>
  </si>
  <si>
    <t>DM.A2.202</t>
  </si>
  <si>
    <t>DM.A2.203</t>
  </si>
  <si>
    <t>DM.A2.204</t>
  </si>
  <si>
    <t>DM.A2.205</t>
  </si>
  <si>
    <t>DM.A2.206</t>
  </si>
  <si>
    <t>DM.A2.207</t>
  </si>
  <si>
    <t>DM.A2.208</t>
  </si>
  <si>
    <t>DM.A2.209</t>
  </si>
  <si>
    <t>DM.A2.210</t>
  </si>
  <si>
    <t>DM.A2.211</t>
  </si>
  <si>
    <t>DM.A2.212</t>
  </si>
  <si>
    <t>DM.A2.213</t>
  </si>
  <si>
    <t>DM.A2.214</t>
  </si>
  <si>
    <t>DM.A2.215</t>
  </si>
  <si>
    <t>DM.A2.216</t>
  </si>
  <si>
    <t>DM.A2.217</t>
  </si>
  <si>
    <t>DM.A2.218</t>
  </si>
  <si>
    <t>DM.A2.219</t>
  </si>
  <si>
    <t>DM.A2.220</t>
  </si>
  <si>
    <t>DM.A3.101</t>
  </si>
  <si>
    <t>DM.A3.102</t>
  </si>
  <si>
    <t>DM.A3.103</t>
  </si>
  <si>
    <t>DM.A3.104</t>
  </si>
  <si>
    <t>DM.A3.105</t>
  </si>
  <si>
    <t>DM.A3.106</t>
  </si>
  <si>
    <t>DM.A3.107</t>
  </si>
  <si>
    <t>DM.A3.108</t>
  </si>
  <si>
    <t>DM.A3.109</t>
  </si>
  <si>
    <t>DM.A3.110</t>
  </si>
  <si>
    <t>DM.A3.111</t>
  </si>
  <si>
    <t>DM.A3.112</t>
  </si>
  <si>
    <t>DM.A3.113</t>
  </si>
  <si>
    <t>DM.A3.114</t>
  </si>
  <si>
    <t>DM.A3.115</t>
  </si>
  <si>
    <t>DM.A3.116</t>
  </si>
  <si>
    <t>DM.A3.117</t>
  </si>
  <si>
    <t>DM.A3.118</t>
  </si>
  <si>
    <t>DM.A3.119</t>
  </si>
  <si>
    <t>DM.A3.120</t>
  </si>
  <si>
    <t>DM.A3.201</t>
  </si>
  <si>
    <t>DM.A3.202</t>
  </si>
  <si>
    <t>DM.A3.203</t>
  </si>
  <si>
    <t>DM.A3.204</t>
  </si>
  <si>
    <t>DM.A3.205</t>
  </si>
  <si>
    <t>DM.A3.206</t>
  </si>
  <si>
    <t>DM.A3.207</t>
  </si>
  <si>
    <t>DM.A3.208</t>
  </si>
  <si>
    <t>DM.A3.209</t>
  </si>
  <si>
    <t>DM.A3.210</t>
  </si>
  <si>
    <t>DM.A3.211</t>
  </si>
  <si>
    <t>DM.A3.212</t>
  </si>
  <si>
    <t>DM.A3.213</t>
  </si>
  <si>
    <t>DM.A3.214</t>
  </si>
  <si>
    <t>DM.A3.215</t>
  </si>
  <si>
    <t>DM.A3.216</t>
  </si>
  <si>
    <t>DM.A3.217</t>
  </si>
  <si>
    <t>DM.A3.218</t>
  </si>
  <si>
    <t>DM.A3.219</t>
  </si>
  <si>
    <t>DM.A3.220</t>
  </si>
  <si>
    <t>DM.B1.101</t>
  </si>
  <si>
    <t>DM.B1.102</t>
  </si>
  <si>
    <t>DM.B1.103</t>
  </si>
  <si>
    <t>DM.B1.104</t>
  </si>
  <si>
    <t>DM.B1.105</t>
  </si>
  <si>
    <t>DM.B1.106</t>
  </si>
  <si>
    <t>DM.B1.107</t>
  </si>
  <si>
    <t>DM.B1.108</t>
  </si>
  <si>
    <t>DM.B1.109</t>
  </si>
  <si>
    <t>DM.B1.110</t>
  </si>
  <si>
    <t>DM.B1.111</t>
  </si>
  <si>
    <t>DM.B1.112</t>
  </si>
  <si>
    <t>DM.B1.113</t>
  </si>
  <si>
    <t>DM.B1.114</t>
  </si>
  <si>
    <t>DM.B1.116</t>
  </si>
  <si>
    <t>DM.B1.117</t>
  </si>
  <si>
    <t>DM.B1.118</t>
  </si>
  <si>
    <t>DM.B1.119</t>
  </si>
  <si>
    <t>DM.B1.120</t>
  </si>
  <si>
    <t>DM.B1.201</t>
  </si>
  <si>
    <t>DM.B1.202</t>
  </si>
  <si>
    <t>DM.B1.203</t>
  </si>
  <si>
    <t>DM.B1.204</t>
  </si>
  <si>
    <t>DM.B1.205</t>
  </si>
  <si>
    <t>DM.B1.206</t>
  </si>
  <si>
    <t>DM.B1.207</t>
  </si>
  <si>
    <t>DM.B1.208</t>
  </si>
  <si>
    <t>DM.B1.209</t>
  </si>
  <si>
    <t>DM.B1.210</t>
  </si>
  <si>
    <t>DM.B1.211</t>
  </si>
  <si>
    <t>DM.B1.212</t>
  </si>
  <si>
    <t>DM.B1.213</t>
  </si>
  <si>
    <t>DM.B1.214</t>
  </si>
  <si>
    <t>DM.B1.215</t>
  </si>
  <si>
    <t>DM.B1.216</t>
  </si>
  <si>
    <t>DM.B1.217</t>
  </si>
  <si>
    <t>DM.B1.218</t>
  </si>
  <si>
    <t>DM.B1.219</t>
  </si>
  <si>
    <t>DM.B1.220</t>
  </si>
  <si>
    <t>DM.R1.101</t>
  </si>
  <si>
    <t>DM.R1.102</t>
  </si>
  <si>
    <t>DM.R1.103</t>
  </si>
  <si>
    <t>DM.R1.104</t>
  </si>
  <si>
    <t>DM.R1.105</t>
  </si>
  <si>
    <t>DM.R1.106</t>
  </si>
  <si>
    <t>DM.R1.107</t>
  </si>
  <si>
    <t>DM.R1.108</t>
  </si>
  <si>
    <t>DM.R1.109</t>
  </si>
  <si>
    <t>DM.R1.110</t>
  </si>
  <si>
    <t>DM.R1.111</t>
  </si>
  <si>
    <t>DM.R1.112</t>
  </si>
  <si>
    <t>DM.R1.113</t>
  </si>
  <si>
    <t>DM.R1.114</t>
  </si>
  <si>
    <t>DM.R1.115</t>
  </si>
  <si>
    <t>DM.R1.116</t>
  </si>
  <si>
    <t>DM.R1.117</t>
  </si>
  <si>
    <t>DM.R1.118</t>
  </si>
  <si>
    <t>DM.R1.119</t>
  </si>
  <si>
    <t>DM.R1.120</t>
  </si>
  <si>
    <t>DM.R1.201</t>
  </si>
  <si>
    <t>DM.R1.202</t>
  </si>
  <si>
    <t>DM.R1.203</t>
  </si>
  <si>
    <t>DM.R1.204</t>
  </si>
  <si>
    <t>DM.R1.205</t>
  </si>
  <si>
    <t>DM.R1.206</t>
  </si>
  <si>
    <t>DM.R1.207</t>
  </si>
  <si>
    <t>DM.R1.208</t>
  </si>
  <si>
    <t>DM.R1.209</t>
  </si>
  <si>
    <t>DM.R1.210</t>
  </si>
  <si>
    <t>DM.R1.211</t>
  </si>
  <si>
    <t>DM.R1.212</t>
  </si>
  <si>
    <t>DM.R1.213</t>
  </si>
  <si>
    <t>DM.R1.214</t>
  </si>
  <si>
    <t>DM.R1.215</t>
  </si>
  <si>
    <t>DM.R1.216</t>
  </si>
  <si>
    <t>DM.R1.217</t>
  </si>
  <si>
    <t>DM.R1.218</t>
  </si>
  <si>
    <t>DM.R1.219</t>
  </si>
  <si>
    <t>DM.R1.220</t>
  </si>
  <si>
    <t>DM.R2.101</t>
  </si>
  <si>
    <t>DM.R2.102</t>
  </si>
  <si>
    <t>DM.R2.103</t>
  </si>
  <si>
    <t>DM.R2.104</t>
  </si>
  <si>
    <t>DM.R2.105</t>
  </si>
  <si>
    <t>DM.R2.106</t>
  </si>
  <si>
    <t>DM.R2.107</t>
  </si>
  <si>
    <t>DM.R2.108</t>
  </si>
  <si>
    <t>DM.R2.109</t>
  </si>
  <si>
    <t>DM.R2.110</t>
  </si>
  <si>
    <t>DM.R2.111</t>
  </si>
  <si>
    <t>DM.R2.112</t>
  </si>
  <si>
    <t>DM.R2.113</t>
  </si>
  <si>
    <t>DM.R2.114</t>
  </si>
  <si>
    <t>DM.R2.115</t>
  </si>
  <si>
    <t>DM.R2.116</t>
  </si>
  <si>
    <t>DM.R2.117</t>
  </si>
  <si>
    <t>DM.R2.118</t>
  </si>
  <si>
    <t>DM.R2.119</t>
  </si>
  <si>
    <t>DM.R2.120</t>
  </si>
  <si>
    <t>DM.R2.201</t>
  </si>
  <si>
    <t>DM.R2.202</t>
  </si>
  <si>
    <t>DM.R2.203</t>
  </si>
  <si>
    <t>DM.R2.204</t>
  </si>
  <si>
    <t>DM.R2.205</t>
  </si>
  <si>
    <t>DM.R2.206</t>
  </si>
  <si>
    <t>DM.R2.207</t>
  </si>
  <si>
    <t>DM.R2.208</t>
  </si>
  <si>
    <t>DM.R2.209</t>
  </si>
  <si>
    <t>DM.R2.210</t>
  </si>
  <si>
    <t>DM.R2.211</t>
  </si>
  <si>
    <t>DM.R2.212</t>
  </si>
  <si>
    <t>DM.R2.213</t>
  </si>
  <si>
    <t>DM.R2.214</t>
  </si>
  <si>
    <t>DM.R2.215</t>
  </si>
  <si>
    <t>DM.R2.216</t>
  </si>
  <si>
    <t>DM.R2.217</t>
  </si>
  <si>
    <t>DM.R2.218</t>
  </si>
  <si>
    <t>DM.R2.219</t>
  </si>
  <si>
    <t>DM.R2.220</t>
  </si>
  <si>
    <t>PF.B1.101</t>
  </si>
  <si>
    <t>PF.B1.102</t>
  </si>
  <si>
    <t>PF.B1.103</t>
  </si>
  <si>
    <t>PF.B1.104</t>
  </si>
  <si>
    <t>PF.B1.105</t>
  </si>
  <si>
    <t>PF.B1.201</t>
  </si>
  <si>
    <t>PF.B1.202</t>
  </si>
  <si>
    <t>PF.B1.203</t>
  </si>
  <si>
    <t>PF.B1.204</t>
  </si>
  <si>
    <t>PF.B1.205</t>
  </si>
  <si>
    <t>PF.B2.101</t>
  </si>
  <si>
    <t>PF.B2.102</t>
  </si>
  <si>
    <t>PF.B2.103</t>
  </si>
  <si>
    <t>PF.B2.104</t>
  </si>
  <si>
    <t>PF.B2.105</t>
  </si>
  <si>
    <t>PF.B2.201</t>
  </si>
  <si>
    <t>PF.B2.202</t>
  </si>
  <si>
    <t>PF.B2.203</t>
  </si>
  <si>
    <t>PF.B2.204</t>
  </si>
  <si>
    <t>PF.B2.205</t>
  </si>
  <si>
    <t>PF.C1.101</t>
  </si>
  <si>
    <t>PF.C1.102</t>
  </si>
  <si>
    <t>PF.C1.103</t>
  </si>
  <si>
    <t>PF.C1.104</t>
  </si>
  <si>
    <t>PF.C1.105</t>
  </si>
  <si>
    <t>PF.C1.201</t>
  </si>
  <si>
    <t>PF.C1.202</t>
  </si>
  <si>
    <t>PF.C1.203</t>
  </si>
  <si>
    <t>PF.C1.204</t>
  </si>
  <si>
    <t>PF.C1.205</t>
  </si>
  <si>
    <t>PF.C2.101</t>
  </si>
  <si>
    <t>PF.C2.102</t>
  </si>
  <si>
    <t>PF.C2.103</t>
  </si>
  <si>
    <t>PF.C2.104</t>
  </si>
  <si>
    <t>PF.C2.105</t>
  </si>
  <si>
    <t>PF.C2.201</t>
  </si>
  <si>
    <t>PF.C2.202</t>
  </si>
  <si>
    <t>PF.C2.203</t>
  </si>
  <si>
    <t>PF.C2.204</t>
  </si>
  <si>
    <t>PF.C2.205</t>
  </si>
  <si>
    <t>PF.D1.101</t>
  </si>
  <si>
    <t>PF.D1.102</t>
  </si>
  <si>
    <t>PF.D1.103</t>
  </si>
  <si>
    <t>PF.D1.104</t>
  </si>
  <si>
    <t>PF.D1.105</t>
  </si>
  <si>
    <t>PF.D1.201</t>
  </si>
  <si>
    <t>PF.D1.202</t>
  </si>
  <si>
    <t>PF.D1.203</t>
  </si>
  <si>
    <t>PF.D1.204</t>
  </si>
  <si>
    <t>PF.D1.205</t>
  </si>
  <si>
    <t>PF.D2.101</t>
  </si>
  <si>
    <t>PF.D2.102</t>
  </si>
  <si>
    <t>PF.D2.103</t>
  </si>
  <si>
    <t>PF.D2.104</t>
  </si>
  <si>
    <t>PF.D2.105</t>
  </si>
  <si>
    <t>PF.D2.201</t>
  </si>
  <si>
    <t>PF.D2.202</t>
  </si>
  <si>
    <t>PF.D2.203</t>
  </si>
  <si>
    <t>PF.D2.204</t>
  </si>
  <si>
    <t>PF.D2.205</t>
  </si>
  <si>
    <t>PF.E1.101</t>
  </si>
  <si>
    <t>PF.E1.102</t>
  </si>
  <si>
    <t>PF.E1.103</t>
  </si>
  <si>
    <t>PF.E1.104</t>
  </si>
  <si>
    <t>PF.E1.105</t>
  </si>
  <si>
    <t>PF.E1.201</t>
  </si>
  <si>
    <t>PF.E1.202</t>
  </si>
  <si>
    <t>PF.E1.203</t>
  </si>
  <si>
    <t>PF.E1.204</t>
  </si>
  <si>
    <t>PF.E1.205</t>
  </si>
  <si>
    <t>PF.E2.101</t>
  </si>
  <si>
    <t>PF.E2.102</t>
  </si>
  <si>
    <t>PF.E2.103</t>
  </si>
  <si>
    <t>PF.E2.104</t>
  </si>
  <si>
    <t>PF.E2.105</t>
  </si>
  <si>
    <t>PF.E2.201</t>
  </si>
  <si>
    <t>PF.E2.202</t>
  </si>
  <si>
    <t>PF.E2.203</t>
  </si>
  <si>
    <t>PF.E2.204</t>
  </si>
  <si>
    <t>PF.E2.205</t>
  </si>
  <si>
    <t>VP.A1-01</t>
  </si>
  <si>
    <t>VP.A1-02</t>
  </si>
  <si>
    <t>VP.A1-03</t>
  </si>
  <si>
    <t>VP.A1-04</t>
  </si>
  <si>
    <t>VP.A2-01</t>
  </si>
  <si>
    <t>VP.A2-02</t>
  </si>
  <si>
    <t>VP.A2-03</t>
  </si>
  <si>
    <t>VP.A2-04</t>
  </si>
  <si>
    <t>MB.01.01</t>
  </si>
  <si>
    <t>MB.01.02</t>
  </si>
  <si>
    <t>MB.02.01</t>
  </si>
  <si>
    <t>MB.02.02</t>
  </si>
  <si>
    <t>MB.03.01</t>
  </si>
  <si>
    <t>MB.03.02</t>
  </si>
  <si>
    <t>MB.04.01</t>
  </si>
  <si>
    <t>MB.04.02</t>
  </si>
  <si>
    <t>MB.05.01</t>
  </si>
  <si>
    <t>MB.05.02</t>
  </si>
  <si>
    <t>MB.06.01</t>
  </si>
  <si>
    <t>MB.06.02</t>
  </si>
  <si>
    <t>MC.01.01</t>
  </si>
  <si>
    <t>MC.01.02</t>
  </si>
  <si>
    <t>MC.02.01</t>
  </si>
  <si>
    <t>MC.02.02</t>
  </si>
  <si>
    <t>MC.03.01</t>
  </si>
  <si>
    <t>MC.03.02</t>
  </si>
  <si>
    <t>MC.04.01</t>
  </si>
  <si>
    <t>MC.04.02</t>
  </si>
  <si>
    <t>MC.05.01</t>
  </si>
  <si>
    <t>MC.05.02</t>
  </si>
  <si>
    <t>MC.06.01</t>
  </si>
  <si>
    <t>MC.06.02</t>
  </si>
  <si>
    <t>MC.07.01</t>
  </si>
  <si>
    <t>MC.07.02</t>
  </si>
  <si>
    <t>MC.08.01</t>
  </si>
  <si>
    <t>MC.08.02</t>
  </si>
  <si>
    <t>MC.09.01</t>
  </si>
  <si>
    <t>MC.09.02</t>
  </si>
  <si>
    <t>MC.10.01</t>
  </si>
  <si>
    <t>MC.10.02</t>
  </si>
  <si>
    <t>MC.11.01</t>
  </si>
  <si>
    <t>MC.11.02</t>
  </si>
  <si>
    <t>PF.A1.01</t>
  </si>
  <si>
    <t>PF.A1.02</t>
  </si>
  <si>
    <t>PF.A1.03</t>
  </si>
  <si>
    <t>PF.A1.04</t>
  </si>
  <si>
    <t>PF.A1.05</t>
  </si>
  <si>
    <t>PF.A1.06</t>
  </si>
  <si>
    <t>PF.A1.07</t>
  </si>
  <si>
    <t>PF.A1.08</t>
  </si>
  <si>
    <t>PF.A1.09</t>
  </si>
  <si>
    <t>PF.A1.10</t>
  </si>
  <si>
    <t>PF.B1.01</t>
  </si>
  <si>
    <t>PF.B1.02</t>
  </si>
  <si>
    <t>PF.B1.03</t>
  </si>
  <si>
    <t>PF.B1.04</t>
  </si>
  <si>
    <t>PF.B1.05</t>
  </si>
  <si>
    <t>PF.B1.06</t>
  </si>
  <si>
    <t>PF.B1.07</t>
  </si>
  <si>
    <t>PF.B1.08</t>
  </si>
  <si>
    <t>PF.B1.09</t>
  </si>
  <si>
    <t>PF.B1.10</t>
  </si>
  <si>
    <t>PF.C1.01</t>
  </si>
  <si>
    <t>PF.C1.02</t>
  </si>
  <si>
    <t>PF.C1.03</t>
  </si>
  <si>
    <t>PF.C1.04</t>
  </si>
  <si>
    <t>PF.C1.05</t>
  </si>
  <si>
    <t>PF.C1.06</t>
  </si>
  <si>
    <t>PF.C1.07</t>
  </si>
  <si>
    <t>PF.C1.08</t>
  </si>
  <si>
    <t>PF.C1.09</t>
  </si>
  <si>
    <t>PF.C1.10</t>
  </si>
  <si>
    <t>PF.C1.11</t>
  </si>
  <si>
    <t>PF.C1.12</t>
  </si>
  <si>
    <t>PF.C1.13</t>
  </si>
  <si>
    <t>PF.C1.14</t>
  </si>
  <si>
    <t>PF.C1.15</t>
  </si>
  <si>
    <t>PF.C1.16</t>
  </si>
  <si>
    <t>PF.C2.01</t>
  </si>
  <si>
    <t>PF.C2.02</t>
  </si>
  <si>
    <t>PF.C2.03</t>
  </si>
  <si>
    <t>PF.C2.04</t>
  </si>
  <si>
    <t>PF.C2.05</t>
  </si>
  <si>
    <t>PF.C2.06</t>
  </si>
  <si>
    <t>PF.C2.07</t>
  </si>
  <si>
    <t>PF.C2.08</t>
  </si>
  <si>
    <t>PF.C2.09</t>
  </si>
  <si>
    <t>PF.C2.10</t>
  </si>
  <si>
    <t>PF.C2.11</t>
  </si>
  <si>
    <t>PF.C2.12</t>
  </si>
  <si>
    <t>PF.C2.13</t>
  </si>
  <si>
    <t>PF.C2.14</t>
  </si>
  <si>
    <t>PF.C2.15</t>
  </si>
  <si>
    <t>PF.C2.16</t>
  </si>
  <si>
    <t>PF.C2.17</t>
  </si>
  <si>
    <t>PF.C2.18</t>
  </si>
  <si>
    <t>PF.C2.19</t>
  </si>
  <si>
    <t>PF.C2.20</t>
  </si>
  <si>
    <t>SM.01.01</t>
  </si>
  <si>
    <t>SM.01.02</t>
  </si>
  <si>
    <t>SM.01.03</t>
  </si>
  <si>
    <t>SM.01.04</t>
  </si>
  <si>
    <t>SM.01.05</t>
  </si>
  <si>
    <t>SM.01.06</t>
  </si>
  <si>
    <t>SM.02.01</t>
  </si>
  <si>
    <t>SM.02.02</t>
  </si>
  <si>
    <t>SM.02.03</t>
  </si>
  <si>
    <t>SM.02.04</t>
  </si>
  <si>
    <t>SM.02.05</t>
  </si>
  <si>
    <t>SM.02.06</t>
  </si>
  <si>
    <t>SM.03.01</t>
  </si>
  <si>
    <t>SM.03.02</t>
  </si>
  <si>
    <t>SM.03.03</t>
  </si>
  <si>
    <t>SM.03.04</t>
  </si>
  <si>
    <t>SM.03.05</t>
  </si>
  <si>
    <t>SM.03.06</t>
  </si>
  <si>
    <t>TN.01.01</t>
  </si>
  <si>
    <t>TN.01.02</t>
  </si>
  <si>
    <t>TN.01.03</t>
  </si>
  <si>
    <t>TN.01.04</t>
  </si>
  <si>
    <t>TN.01.05</t>
  </si>
  <si>
    <t>TN.01.06</t>
  </si>
  <si>
    <t>TN.01.07</t>
  </si>
  <si>
    <t>TN.01.08</t>
  </si>
  <si>
    <t>OV.01.01</t>
  </si>
  <si>
    <t>OV.01.02</t>
  </si>
  <si>
    <t>OV.01.03</t>
  </si>
  <si>
    <t>OV.01.04</t>
  </si>
  <si>
    <t>OV.01.05</t>
  </si>
  <si>
    <t>OV.01.06</t>
  </si>
  <si>
    <t>OV.01.07</t>
  </si>
  <si>
    <t>OV.01.08</t>
  </si>
  <si>
    <t>BR.A1.01</t>
  </si>
  <si>
    <t>BR.A1.02</t>
  </si>
  <si>
    <t>BR.A1.03</t>
  </si>
  <si>
    <t>BR.A1.04</t>
  </si>
  <si>
    <t>BR.A1.41</t>
  </si>
  <si>
    <t>BR.A1.05</t>
  </si>
  <si>
    <t>BR.A1.06</t>
  </si>
  <si>
    <t>BR.A1.07</t>
  </si>
  <si>
    <t>BR.A1.08</t>
  </si>
  <si>
    <t>BR.A1.09</t>
  </si>
  <si>
    <t>BR.A1.10</t>
  </si>
  <si>
    <t>BR.A1.11</t>
  </si>
  <si>
    <t>BR.B1.01</t>
  </si>
  <si>
    <t>BR.B1.02</t>
  </si>
  <si>
    <t>BR.B1.03</t>
  </si>
  <si>
    <t>BR.B1.04</t>
  </si>
  <si>
    <t>BR.B1.31</t>
  </si>
  <si>
    <t>BR.B1.05</t>
  </si>
  <si>
    <t>BR.C1.01</t>
  </si>
  <si>
    <t>BR.C1.02</t>
  </si>
  <si>
    <t>BR.C1.03</t>
  </si>
  <si>
    <t>BR.C1.04</t>
  </si>
  <si>
    <t>BR.C1.05</t>
  </si>
  <si>
    <t>BR.01.01</t>
  </si>
  <si>
    <t>BR.01.02</t>
  </si>
  <si>
    <t>BR.02.01</t>
  </si>
  <si>
    <t>BR.02.02</t>
  </si>
  <si>
    <t>MESS ID</t>
  </si>
  <si>
    <t>MESS STATUS</t>
  </si>
  <si>
    <t>BEDS</t>
  </si>
  <si>
    <t>EXPAT CANTEEN</t>
  </si>
  <si>
    <t>CENTRAL CANTEEN</t>
  </si>
  <si>
    <t>SAMAENRE CANTEEN</t>
  </si>
  <si>
    <t>READY</t>
  </si>
  <si>
    <t>PERSONAL IDENTIFICATION</t>
  </si>
  <si>
    <t>DATE</t>
  </si>
  <si>
    <t>REMARK</t>
  </si>
  <si>
    <t>BOARDING STATUS</t>
  </si>
  <si>
    <t>ROOM</t>
  </si>
  <si>
    <t>ROOM ALLOCATION</t>
  </si>
  <si>
    <t>PERSON ON BOARD (POB) INFORMATION</t>
  </si>
  <si>
    <t>NAME</t>
  </si>
  <si>
    <t>POSITION</t>
  </si>
  <si>
    <t>OCCUPANTS CATEGORY</t>
  </si>
  <si>
    <t>OCCUPIED</t>
  </si>
  <si>
    <t>UNDER REPAIRED</t>
  </si>
  <si>
    <t>STATUS</t>
  </si>
  <si>
    <t>VIP A2 VENUE</t>
  </si>
  <si>
    <t>VIP A1 VENUE</t>
  </si>
  <si>
    <t>SATELIT CANTEEN</t>
  </si>
  <si>
    <t>WOLO CANTEEN</t>
  </si>
  <si>
    <t>LIVING 3 CANTEEN</t>
  </si>
  <si>
    <t>OFFICE U SMELTER CANTEEN</t>
  </si>
  <si>
    <t>EXPLORATION MESS CANTEEN</t>
  </si>
  <si>
    <t>MINING CANTEEN</t>
  </si>
  <si>
    <t>AREA</t>
  </si>
  <si>
    <t>MINING OFFICE</t>
  </si>
  <si>
    <t>WOLO LABORATORY</t>
  </si>
  <si>
    <t>SMELTER PT. CMP</t>
  </si>
  <si>
    <t>MEALS PACKAGES</t>
  </si>
  <si>
    <t>DELIVERY POINT</t>
  </si>
  <si>
    <t>STAY MESS</t>
  </si>
  <si>
    <t>NO OF PACKS</t>
  </si>
  <si>
    <t>MEALS DELIVERY POINT</t>
  </si>
  <si>
    <t>REQUEST BY</t>
  </si>
  <si>
    <t>SERVICES PACKAGES</t>
  </si>
  <si>
    <t>LAUNDRY BAG ID</t>
  </si>
  <si>
    <t>LAUNDRY BOX</t>
  </si>
  <si>
    <t>WEIGHT</t>
  </si>
  <si>
    <t>COMPLETION DATE</t>
  </si>
  <si>
    <t>RECEIVING DATE</t>
  </si>
  <si>
    <t>BAG STATUS</t>
  </si>
  <si>
    <t>BRAND</t>
  </si>
  <si>
    <t>COLOUR</t>
  </si>
  <si>
    <t>SIZE</t>
  </si>
  <si>
    <t>CLOTHES</t>
  </si>
  <si>
    <t>CLOTHES NO.</t>
  </si>
  <si>
    <t>NO OF PCS</t>
  </si>
  <si>
    <t>DROP POINT</t>
  </si>
  <si>
    <t>DP STATUS</t>
  </si>
  <si>
    <t>LDP SAMAENRE</t>
  </si>
  <si>
    <t>LDP LIVING 3</t>
  </si>
  <si>
    <t>DROPPED BY</t>
  </si>
  <si>
    <t>POINT</t>
  </si>
  <si>
    <t>LAUNDRY HOUSE LIVING 1</t>
  </si>
  <si>
    <t>LAUNDRY BAG</t>
  </si>
  <si>
    <t>LANDED HOUSE</t>
  </si>
  <si>
    <t>BREAKFAST</t>
  </si>
  <si>
    <t>LUNCH</t>
  </si>
  <si>
    <t>DINNER</t>
  </si>
  <si>
    <t>DROP DOWN LIST</t>
  </si>
  <si>
    <t>OUT OF ORDER</t>
  </si>
  <si>
    <t>RESIDENCE CARD (NIK)</t>
  </si>
  <si>
    <t>DRIVING LICENSE</t>
  </si>
  <si>
    <t>EMPLOYEE BADGE</t>
  </si>
  <si>
    <t>PASSPORT</t>
  </si>
  <si>
    <t>REGULAR GUEST</t>
  </si>
  <si>
    <t>SPECIAL GUEST</t>
  </si>
  <si>
    <t>EXECUTIVE/ VIPs GUEST</t>
  </si>
  <si>
    <t>STANDARD BUFFET</t>
  </si>
  <si>
    <t>ROOM DELIVERY</t>
  </si>
  <si>
    <t>VIP BUFFET</t>
  </si>
  <si>
    <t>SCHEDULLED</t>
  </si>
  <si>
    <t>GUESTS</t>
  </si>
  <si>
    <t>NO OF PACK</t>
  </si>
  <si>
    <t>MEAL TIME</t>
  </si>
  <si>
    <t>ACCOMODATION STATUS</t>
  </si>
  <si>
    <t>GUEST STATUS</t>
  </si>
  <si>
    <t xml:space="preserve">ESTIMATED  ARRIVAL </t>
  </si>
  <si>
    <t xml:space="preserve">ESTIMATED DEPARTURE </t>
  </si>
  <si>
    <t xml:space="preserve"> GUEST STATUS</t>
  </si>
  <si>
    <t>GUEST CATEGORY</t>
  </si>
  <si>
    <t xml:space="preserve">Note: List yg muncul adalah filtering dari Table &lt;RESERVATION&gt;: </t>
  </si>
  <si>
    <t>REG. ID CARD</t>
  </si>
  <si>
    <t>Note: Data yg ditampikan adalah [BOARDING STATUS = ON SITE] pada Table &lt;PERSON ON BOARD&gt;</t>
  </si>
  <si>
    <t>Note: Table disummarykan dari tabel &lt;MEALS SERVICE DETAIL (ACCOMODATION PROVIDED)&gt; dan &lt;MEALS SERVICES (FOR VISITOR OR GUEST WITH NO ACCOMODATION PROVIDED)&gt;</t>
  </si>
  <si>
    <t>LEVEL CATEGORY</t>
  </si>
  <si>
    <t>BOD</t>
  </si>
  <si>
    <t>Notes:</t>
  </si>
  <si>
    <t>ROOM ALLCATION</t>
  </si>
  <si>
    <t>EXECUTIVE/VIPs GUEST</t>
  </si>
  <si>
    <t>Reservasi untuk no kamar yg sama maksimum = jumlah BEDS di tabel &lt;DATA REGISTER_ROOM&gt;</t>
  </si>
  <si>
    <t>REGISTERED BY</t>
  </si>
  <si>
    <t>Reservasi untuk GUEST yg sama hanya dapat dilakukan untuk 1 (satu) siklus kunjungan dimulai dengan CHECK IN dan diakhiri dengan CHECK OUT.</t>
  </si>
  <si>
    <t>DATA REGISTER (MESS)</t>
  </si>
  <si>
    <t>DATA REGISTER (MEALS DELIVERY POINT)</t>
  </si>
  <si>
    <t>DATA REGISTER (LAUNDRY BAG &amp; BOX)</t>
  </si>
  <si>
    <t>HSE MANAGER</t>
  </si>
  <si>
    <t>FURNACE MANAGER</t>
  </si>
  <si>
    <t>ENFI DIRECTOR</t>
  </si>
  <si>
    <t>EMU GENERAL MANAGER</t>
  </si>
  <si>
    <t>ENGINEERING MAINTENANCE &amp; UTILITIES SPECIALIST</t>
  </si>
  <si>
    <t xml:space="preserve">PROCESS OPERATION GENERAL MANAGER </t>
  </si>
  <si>
    <t>PT. CMP SMELTER DIRECTOR</t>
  </si>
  <si>
    <t>DRYER MANAGER</t>
  </si>
  <si>
    <t>PROCESS PLANT MAINTENANCE MANAGER</t>
  </si>
  <si>
    <t>EMU MANAGER</t>
  </si>
  <si>
    <t>REDUCTION KILN MANAGER</t>
  </si>
  <si>
    <t>GENERAL FACILITIES SERFICES GENERAL MANAGER</t>
  </si>
  <si>
    <t>EXECUTIVE</t>
  </si>
  <si>
    <t>ENFI</t>
  </si>
  <si>
    <t>GOVERNMENT OFFICER</t>
  </si>
  <si>
    <t>CONSULTANT</t>
  </si>
  <si>
    <t>CONTRACTOR</t>
  </si>
  <si>
    <t>OTHERS</t>
  </si>
  <si>
    <t>LH.01.01 (SUNARTO)</t>
  </si>
  <si>
    <t>LH.01.02 (KHRISNA)</t>
  </si>
  <si>
    <t>LH.02.01 (MR. ZHENG)</t>
  </si>
  <si>
    <t>LH.03.01 (TA'DUNG)</t>
  </si>
  <si>
    <t>LH.03.02 (REINHARD)</t>
  </si>
  <si>
    <t>LH.04.01 (SUWARTO)</t>
  </si>
  <si>
    <t>LH.05.01 (SLAMET. S)</t>
  </si>
  <si>
    <t>LH.04.02 (ANDRE. D)</t>
  </si>
  <si>
    <t>LH.05.02 (SYAMSI. B)</t>
  </si>
  <si>
    <t>LH.06.01 (ROIMON. B)</t>
  </si>
  <si>
    <t>LH.06.02 (YARIS. T)</t>
  </si>
  <si>
    <t>LH-07.01 (ALIMUDDIN. T)</t>
  </si>
  <si>
    <t>LH-07.02 (BUSYARI)</t>
  </si>
  <si>
    <t>LH.08.01 (IMRAN. R)</t>
  </si>
  <si>
    <t>LH.08.02 (AGUS. L)</t>
  </si>
  <si>
    <t>LH.09.01 (A. MAPPASELLE)</t>
  </si>
  <si>
    <t>LH.09.02 (LUSYAN. T)</t>
  </si>
  <si>
    <t>LH.10.01 (ALFINA. W)</t>
  </si>
  <si>
    <t>LH.10.02 (ALIM. S)</t>
  </si>
  <si>
    <t>DATA REGISTER (AREA)</t>
  </si>
  <si>
    <t>AREA ID</t>
  </si>
  <si>
    <t>LIV.RES.01</t>
  </si>
  <si>
    <t>LIV.RES.02</t>
  </si>
  <si>
    <t>LIV.RES.03</t>
  </si>
  <si>
    <t>SAM.RES.01</t>
  </si>
  <si>
    <t>SAM.VIL.01</t>
  </si>
  <si>
    <t>SAM.EXP.01</t>
  </si>
  <si>
    <t>ON SITE</t>
  </si>
  <si>
    <t>OFF SITE</t>
  </si>
  <si>
    <t>GUEST CATEGORY = [REGULAR GUEST] dgn  GUEST STATUS = [ON SITE] dan atau [OFF SITE]</t>
  </si>
  <si>
    <t>GUEST CATEGORY = [SPECIAL GUEST ] dan atau [EXECUTIVE/ VIPs GUEST] dgn GUEST STATUS = [ON SITE]</t>
  </si>
  <si>
    <t>BOARDING STATUS = ON BOARD untuk GUEST STATUS = ON SITE</t>
  </si>
  <si>
    <t>BOARDING STATUS = OFF BOARD untuk GUEST STATUS = OFF SITE</t>
  </si>
  <si>
    <t>ENFI CANTEEN</t>
  </si>
  <si>
    <t>Note: List ROOM yg muncul adalah ROOM STATUS = [READY] dari tabel &lt;DATA REGISTER_ROOM&gt;</t>
  </si>
  <si>
    <t>FULL OCCUPIED</t>
  </si>
  <si>
    <t>ON BOARD</t>
  </si>
  <si>
    <t>OFF BOARD</t>
  </si>
  <si>
    <t>DATA REGISTER (GUEST)</t>
  </si>
  <si>
    <t>APPROVED BY</t>
  </si>
  <si>
    <t>20047</t>
  </si>
  <si>
    <t>20055</t>
  </si>
  <si>
    <t>30001</t>
  </si>
  <si>
    <t>A1071</t>
  </si>
  <si>
    <t>20658</t>
  </si>
  <si>
    <t>11108</t>
  </si>
  <si>
    <t>11110</t>
  </si>
  <si>
    <t>A1061</t>
  </si>
  <si>
    <t>20035</t>
  </si>
  <si>
    <t>20780</t>
  </si>
  <si>
    <t>A1012</t>
  </si>
  <si>
    <t>20022</t>
  </si>
  <si>
    <t>20657</t>
  </si>
  <si>
    <t>A1068</t>
  </si>
  <si>
    <t>C.128</t>
  </si>
  <si>
    <t>A1010</t>
  </si>
  <si>
    <t>20681</t>
  </si>
  <si>
    <t>20398</t>
  </si>
  <si>
    <t>20084</t>
  </si>
  <si>
    <t>BED CAPACITY</t>
  </si>
  <si>
    <t>OCCUPANTS</t>
  </si>
  <si>
    <t>EMPL_ID</t>
  </si>
  <si>
    <t>POSITION ON CONTRACT</t>
  </si>
  <si>
    <t>CATEGORY - LEVEL</t>
  </si>
  <si>
    <t>DEPARTEMENT</t>
  </si>
  <si>
    <t>PERSON ON BOARD</t>
  </si>
  <si>
    <t>MANDO VVIP-A1</t>
  </si>
  <si>
    <t>A1-01</t>
  </si>
  <si>
    <t>A1-02</t>
  </si>
  <si>
    <t>A1-03</t>
  </si>
  <si>
    <t>A1-04</t>
  </si>
  <si>
    <t>MANDO VVIP-A2</t>
  </si>
  <si>
    <t>A2-01</t>
  </si>
  <si>
    <t>A2-02</t>
  </si>
  <si>
    <t>A2-03</t>
  </si>
  <si>
    <t>A2-04</t>
  </si>
  <si>
    <t>B1-01</t>
  </si>
  <si>
    <t>10010</t>
  </si>
  <si>
    <t>ANDARIAS PALA BATARA</t>
  </si>
  <si>
    <t>COMMUNITY RELATION MANAGER</t>
  </si>
  <si>
    <t>MANAGER AND EQUIVALENT</t>
  </si>
  <si>
    <t>COMMUNITY RELATION</t>
  </si>
  <si>
    <t xml:space="preserve">VACANT </t>
  </si>
  <si>
    <t>H ARFAH MOVE TO C1</t>
  </si>
  <si>
    <t>B1-02</t>
  </si>
  <si>
    <t>YOHAN</t>
  </si>
  <si>
    <t>SALMAN ACO</t>
  </si>
  <si>
    <t>B2-01</t>
  </si>
  <si>
    <t>10825</t>
  </si>
  <si>
    <t>EDY DJONI MARKUS NURSEWAN</t>
  </si>
  <si>
    <t>[CNI] SHIPMENT PORT OPERATION &amp; MAINTENANCE GENERAL MANAGER</t>
  </si>
  <si>
    <t>GENERAL MANAGER AND EQUIVALENT</t>
  </si>
  <si>
    <t>SHIPMENT, PORT OPERATION &amp; MAINTENANCE</t>
  </si>
  <si>
    <t>B2-02</t>
  </si>
  <si>
    <t>10646</t>
  </si>
  <si>
    <t>VICTOR T. PARANTEAN</t>
  </si>
  <si>
    <t>SHIPMENT &amp; PORT OPERATION MANAGER</t>
  </si>
  <si>
    <t>SHIPMENT &amp; PORT OPERATION</t>
  </si>
  <si>
    <t>B3-01</t>
  </si>
  <si>
    <t>20008</t>
  </si>
  <si>
    <t>R. B. SONNY SWASONO</t>
  </si>
  <si>
    <t>[CMP] CONSTRUCTION MANAGER</t>
  </si>
  <si>
    <t>PROJECT CONSTRUCTION</t>
  </si>
  <si>
    <t>B3-02</t>
  </si>
  <si>
    <t>90017</t>
  </si>
  <si>
    <t>ADRIANTITO SALIM LAMO</t>
  </si>
  <si>
    <t>CORPORATE COMMUNICATION MANAGER</t>
  </si>
  <si>
    <t>CORPORATE COMMUNICATION</t>
  </si>
  <si>
    <t>10819</t>
  </si>
  <si>
    <t>AGUS SATRIA</t>
  </si>
  <si>
    <t>MINE SERVICE &amp; SUPPORT MANAGER</t>
  </si>
  <si>
    <t>MINE SERVICE &amp; SUPPORT</t>
  </si>
  <si>
    <t>B4-01</t>
  </si>
  <si>
    <t>VISITOR</t>
  </si>
  <si>
    <t>B4-02</t>
  </si>
  <si>
    <t>B5-01</t>
  </si>
  <si>
    <t>10045</t>
  </si>
  <si>
    <t>SISWO POEDJI PRIYONO</t>
  </si>
  <si>
    <t>[CNI] GUEST HANDLING MANAGER</t>
  </si>
  <si>
    <t>GUEST HANDLING</t>
  </si>
  <si>
    <t>B5-02</t>
  </si>
  <si>
    <t>B6-01</t>
  </si>
  <si>
    <t>10036</t>
  </si>
  <si>
    <t>ALPI CEKDIN</t>
  </si>
  <si>
    <t>HEALTH SAFETY ENVIRONMENT (HSE) AND OPERATION COMPLIANCE GENERAL MANAGER</t>
  </si>
  <si>
    <t>HEALTH SAFETY ENVIRONMENT (HSE) AND OPERATION COMPLIANCE</t>
  </si>
  <si>
    <t>B6-02</t>
  </si>
  <si>
    <t>10041</t>
  </si>
  <si>
    <t>DHANI ROSA PRATAMA</t>
  </si>
  <si>
    <t>PROJECT DEVELOPMENT &amp; MINING MANAGER</t>
  </si>
  <si>
    <t>PROJECT DEVELOPMENT &amp; MINING</t>
  </si>
  <si>
    <t>C1-01</t>
  </si>
  <si>
    <t>10664</t>
  </si>
  <si>
    <t>CHANDRA BAMBANG SUMARAH</t>
  </si>
  <si>
    <t>MINING OPERATION &amp; SUPPORT SENIOR MANAGER</t>
  </si>
  <si>
    <t>C1-02</t>
  </si>
  <si>
    <t>11525</t>
  </si>
  <si>
    <t>M. ARFAH MUSTAFA</t>
  </si>
  <si>
    <t>GOVERNMENT RELATION MANAGER</t>
  </si>
  <si>
    <t>GOVERNMENT RELATION</t>
  </si>
  <si>
    <t>C2-01</t>
  </si>
  <si>
    <t>C2-02</t>
  </si>
  <si>
    <t>90037</t>
  </si>
  <si>
    <t>KARMANTO</t>
  </si>
  <si>
    <t>PROJECT DOCUMENTATOR</t>
  </si>
  <si>
    <t>C3-01</t>
  </si>
  <si>
    <t>C3-02</t>
  </si>
  <si>
    <t>C4-01</t>
  </si>
  <si>
    <t>10788</t>
  </si>
  <si>
    <t>SUHARTO ONGGANG</t>
  </si>
  <si>
    <t>SITE OPERATION COMMITTEE</t>
  </si>
  <si>
    <t>OPERATION</t>
  </si>
  <si>
    <t>C4-02</t>
  </si>
  <si>
    <t>10042</t>
  </si>
  <si>
    <t>EBONY ANDI LOLO</t>
  </si>
  <si>
    <t>DATABASE &amp; ADMIN SUPERINTENDENT</t>
  </si>
  <si>
    <t>10674</t>
  </si>
  <si>
    <t>YUDI MOCHAMAD</t>
  </si>
  <si>
    <t>[CNI] HC EXCELLENCE &amp; INDUSTRIAL RELATION MANAGER</t>
  </si>
  <si>
    <t>HC EXCELLENCE &amp; INDUSTRIAL RELATION</t>
  </si>
  <si>
    <t>C5-01</t>
  </si>
  <si>
    <t>SMELTER SPECIALIST</t>
  </si>
  <si>
    <t>OPERATION READINESS SMELTER RKEF</t>
  </si>
  <si>
    <t>20007</t>
  </si>
  <si>
    <t>INDRA HAEDAR NASIR</t>
  </si>
  <si>
    <t>[PROJECT] CIVIL ENGINEER</t>
  </si>
  <si>
    <t>CONSTRUCTION MANAGEMENT</t>
  </si>
  <si>
    <t>C5-02</t>
  </si>
  <si>
    <t>10749</t>
  </si>
  <si>
    <t>MISHBAHUL UMAM</t>
  </si>
  <si>
    <t>QA QC CONSTRUCTION SUPERINTENDENT</t>
  </si>
  <si>
    <t>JOKO PRIYONO (STAY TEMPORARY)</t>
  </si>
  <si>
    <t>C6-01</t>
  </si>
  <si>
    <t>RISALDI</t>
  </si>
  <si>
    <t>ARIS</t>
  </si>
  <si>
    <t>C6-02</t>
  </si>
  <si>
    <t>SULKAMRUN</t>
  </si>
  <si>
    <t>C7-01</t>
  </si>
  <si>
    <t>11106</t>
  </si>
  <si>
    <t>GANDA SUBRATA</t>
  </si>
  <si>
    <t>[CNI] CONSTRUCTION MANAGEMENT GENERAL MANAGER</t>
  </si>
  <si>
    <t>C7-02</t>
  </si>
  <si>
    <t>A1051</t>
  </si>
  <si>
    <t>JONATHAN PAILLIN</t>
  </si>
  <si>
    <t>COMMUNITY DEVELOPMENT ADVISOR</t>
  </si>
  <si>
    <t/>
  </si>
  <si>
    <t>C8-01</t>
  </si>
  <si>
    <t>20854</t>
  </si>
  <si>
    <t>COSMAS GRINDOGRAHITO</t>
  </si>
  <si>
    <t>PROCUREMENT ENGINEER (MECHANICAL &amp; CIVIL)</t>
  </si>
  <si>
    <t>SUPPLY CHAIN MANAGEMENT</t>
  </si>
  <si>
    <t>20672</t>
  </si>
  <si>
    <t>WIRANATA WENDY SAMBARA</t>
  </si>
  <si>
    <t>SAFETY OFFICER PROJECT</t>
  </si>
  <si>
    <t>C8-02</t>
  </si>
  <si>
    <t>10623</t>
  </si>
  <si>
    <t>MUHAMMAD RIDWAN</t>
  </si>
  <si>
    <t>[EG] ELECTRICAL SPECIALIST</t>
  </si>
  <si>
    <t>ENGINEERING</t>
  </si>
  <si>
    <t>C9-01</t>
  </si>
  <si>
    <t>10103</t>
  </si>
  <si>
    <t>AGUNG WINATA</t>
  </si>
  <si>
    <t>QUALITY ASSURANCE &amp; QUALITY CONTROL MANAGER</t>
  </si>
  <si>
    <t>EXPLORATION, RESOURCE DEVELOPMENT &amp; QUALITY SERVICE</t>
  </si>
  <si>
    <t>C9-02</t>
  </si>
  <si>
    <t>10776</t>
  </si>
  <si>
    <t>FERSON TAPPANG</t>
  </si>
  <si>
    <t>MINE PRODUCTION MANAGER</t>
  </si>
  <si>
    <t>C10-01</t>
  </si>
  <si>
    <t>11501</t>
  </si>
  <si>
    <t>YUDHA FEBRIYAN TRINANDA</t>
  </si>
  <si>
    <t>MINE LIMONITE ENGINEER AND FLEET MANAGEMENT SENIOR MANAGER</t>
  </si>
  <si>
    <t>MINE LIMONITE ENGINEER  AND FLEET MANAGEMENT</t>
  </si>
  <si>
    <t>C10-02</t>
  </si>
  <si>
    <t>C11-01</t>
  </si>
  <si>
    <t>20046</t>
  </si>
  <si>
    <t>TAUFIK IBRAHIM</t>
  </si>
  <si>
    <t>SENIOR SMELTER CONTRUCTION SPECIALIST</t>
  </si>
  <si>
    <t>C11-02</t>
  </si>
  <si>
    <t>A1076</t>
  </si>
  <si>
    <t>GLEN LAWRENCE FRANCISKUS</t>
  </si>
  <si>
    <t>CIVIL - PROJECT CONSTRUCTION SUPERVISOR</t>
  </si>
  <si>
    <t>A-01</t>
  </si>
  <si>
    <t>10717</t>
  </si>
  <si>
    <t>ARDIYANTOMO J BATARA</t>
  </si>
  <si>
    <t>INDUSTRIAL RELATION &amp; EMPLOYEE RELATION OFFICER</t>
  </si>
  <si>
    <t>10762</t>
  </si>
  <si>
    <t>IRSAN K</t>
  </si>
  <si>
    <t>MINE ENGINEER</t>
  </si>
  <si>
    <t>10438</t>
  </si>
  <si>
    <t>MUHAMAD RUSDI</t>
  </si>
  <si>
    <t>SENIOR MINE ENGINEER</t>
  </si>
  <si>
    <t>A-02</t>
  </si>
  <si>
    <t>10931</t>
  </si>
  <si>
    <t>RISWAN</t>
  </si>
  <si>
    <t>ANALYST LABORATORY C</t>
  </si>
  <si>
    <t>11357</t>
  </si>
  <si>
    <t>MUH. SYAFRIE AFRIZAL</t>
  </si>
  <si>
    <t>LABORATORY TECHNICIAN LAB. B</t>
  </si>
  <si>
    <t>11508</t>
  </si>
  <si>
    <t>SENDI ARDIANSYAH</t>
  </si>
  <si>
    <t>FOREMAN GRADE CONTROL SHIFT 3 PIT AB</t>
  </si>
  <si>
    <t>A-03</t>
  </si>
  <si>
    <t>10123</t>
  </si>
  <si>
    <t>ACHMAD FUAD BAWASIR</t>
  </si>
  <si>
    <t>JETTY TRANSHIPMENT SUPERVISOR</t>
  </si>
  <si>
    <t>10124</t>
  </si>
  <si>
    <t>MUHAMMAD NUR HIDAYAT</t>
  </si>
  <si>
    <t>ASSITANT GENERAL SUPPORT</t>
  </si>
  <si>
    <t>10449</t>
  </si>
  <si>
    <t>EDDY HARLIADI</t>
  </si>
  <si>
    <t>LEGAL LITIGATION OFFICER - SITE</t>
  </si>
  <si>
    <t>LEGAL OPERATIONS, COMPLIANCE &amp; SITE OFFICE</t>
  </si>
  <si>
    <t>A-04</t>
  </si>
  <si>
    <t>11555</t>
  </si>
  <si>
    <t>FAISAL NOER ALIM</t>
  </si>
  <si>
    <t>FOREMAN HEAVY EQIUPMENT MAINTENANCE</t>
  </si>
  <si>
    <t>11429</t>
  </si>
  <si>
    <t>YOHANES RIDHO</t>
  </si>
  <si>
    <t>COST CONTROL SENIOR OFFICER</t>
  </si>
  <si>
    <t xml:space="preserve">COST CONTROL </t>
  </si>
  <si>
    <t>10740</t>
  </si>
  <si>
    <t>RONI VIRGO SAPUTRA</t>
  </si>
  <si>
    <t>LABORATORY B SUPERVISOR</t>
  </si>
  <si>
    <t>A-05</t>
  </si>
  <si>
    <t>11339</t>
  </si>
  <si>
    <t>MUHAMMAD IDHAM FAZLURRAHMAN</t>
  </si>
  <si>
    <t>SITE BENEFIT ADMIN JUNIOR OFFICER</t>
  </si>
  <si>
    <t>COMPENSATION &amp; BENEFIT CUM EXECUTIVE PAYROLL</t>
  </si>
  <si>
    <t>10054</t>
  </si>
  <si>
    <t>TANDI PARASSA</t>
  </si>
  <si>
    <t>[PDM] SURVEYOR</t>
  </si>
  <si>
    <t>11029</t>
  </si>
  <si>
    <t>FRANS GANGGI</t>
  </si>
  <si>
    <t>MINE SUPPORT SUPERVISOR</t>
  </si>
  <si>
    <t>A-06</t>
  </si>
  <si>
    <t>ADRIAN</t>
  </si>
  <si>
    <t>FORESTRY</t>
  </si>
  <si>
    <t>10487</t>
  </si>
  <si>
    <t>ALTA PRAYOTO</t>
  </si>
  <si>
    <t>FORESTRY PLANNING &amp; UTILIZATION SUPERVISOR</t>
  </si>
  <si>
    <t>ENVIRONMENTAL</t>
  </si>
  <si>
    <t>A-07</t>
  </si>
  <si>
    <t>10699</t>
  </si>
  <si>
    <t>DAENAN SALLE KARURUNG</t>
  </si>
  <si>
    <t>10716</t>
  </si>
  <si>
    <t>ANDI INDRAWANSYAH BATARA</t>
  </si>
  <si>
    <t>ENVIRONMENTAL JUNIOR ENGINEER</t>
  </si>
  <si>
    <t>10924</t>
  </si>
  <si>
    <t>RETNO EKA PUTRA WENGKAU</t>
  </si>
  <si>
    <t>GA GENERAL SUPPORT</t>
  </si>
  <si>
    <t>A-08</t>
  </si>
  <si>
    <t>11171</t>
  </si>
  <si>
    <t>GERRY PALI</t>
  </si>
  <si>
    <t>MONITORING ENVIRONMENTAL COMPLIANCE SUPERVISOR</t>
  </si>
  <si>
    <t>MANAGEMENT SYSTEM &amp; COMPLIANCE</t>
  </si>
  <si>
    <t>10399</t>
  </si>
  <si>
    <t>ABD. KAIYUM</t>
  </si>
  <si>
    <t>STOCKYARD MANAGEMENT SUPERINTENDENT</t>
  </si>
  <si>
    <t>10763</t>
  </si>
  <si>
    <t>SANDY TIAS SETIAWAN</t>
  </si>
  <si>
    <t>GEOTECHNICAL ENGINEERING</t>
  </si>
  <si>
    <t>A-09</t>
  </si>
  <si>
    <t>11169</t>
  </si>
  <si>
    <t>RADIAN KEMBONG BATARA RAMPUN</t>
  </si>
  <si>
    <t>QUALITY SURVEYOR</t>
  </si>
  <si>
    <t>10990</t>
  </si>
  <si>
    <t>ELVITRI LUSTIASMY MANGONTAN</t>
  </si>
  <si>
    <t>WAREHOUSE &amp; INVENTORY</t>
  </si>
  <si>
    <t>A-10</t>
  </si>
  <si>
    <t>11170</t>
  </si>
  <si>
    <t>AHMAD ALAM M</t>
  </si>
  <si>
    <t>MEP ENGINEER</t>
  </si>
  <si>
    <t>11528</t>
  </si>
  <si>
    <t>ACHMAD FIRDAUS</t>
  </si>
  <si>
    <t>GENERAL AFFAIRS SERVICES &amp; TRANSPORTATION SUPERVISOR</t>
  </si>
  <si>
    <t>SITE GENERAL AFFAIR</t>
  </si>
  <si>
    <t>10773</t>
  </si>
  <si>
    <t>AFANSYAH MUBARAK</t>
  </si>
  <si>
    <t>QUALITY ASSURANCE &amp; QUALITY CONTROL ENGINEER</t>
  </si>
  <si>
    <t>PREFAB</t>
  </si>
  <si>
    <t>B-01</t>
  </si>
  <si>
    <t>10862</t>
  </si>
  <si>
    <t>RINO ERWIN</t>
  </si>
  <si>
    <t>GRADE CONTROL FOREMAN</t>
  </si>
  <si>
    <t>11113</t>
  </si>
  <si>
    <t>MOHAMMAD JUNAEDY BURHAN</t>
  </si>
  <si>
    <t>MINE LIMONITE STOCKPILE &amp; BLENDING PLANNER</t>
  </si>
  <si>
    <t>MINE LIMONITE OPERATION</t>
  </si>
  <si>
    <t>10194</t>
  </si>
  <si>
    <t>MANTONO S.</t>
  </si>
  <si>
    <t>FOREMAN STOCKYARD</t>
  </si>
  <si>
    <t>B-02</t>
  </si>
  <si>
    <t>10419</t>
  </si>
  <si>
    <t>ARSIL</t>
  </si>
  <si>
    <t>FAJRI</t>
  </si>
  <si>
    <t>LIMONIT</t>
  </si>
  <si>
    <t>11557</t>
  </si>
  <si>
    <t>ALPHA REYNARD RENGGA</t>
  </si>
  <si>
    <t>B-03</t>
  </si>
  <si>
    <t>10832</t>
  </si>
  <si>
    <t>SUDARLIN</t>
  </si>
  <si>
    <t>STOCKYARD &amp; BARGING D SUPERVISOR</t>
  </si>
  <si>
    <t>11427</t>
  </si>
  <si>
    <t>ISLAH MADJID</t>
  </si>
  <si>
    <t>WASTEWATER MANAGEMENT OFFICER</t>
  </si>
  <si>
    <t>11565</t>
  </si>
  <si>
    <t>MUHAMMAD SYAHRIR PRATAMA</t>
  </si>
  <si>
    <t>ANALYST LABORATORY A</t>
  </si>
  <si>
    <t>B-04</t>
  </si>
  <si>
    <t>10673</t>
  </si>
  <si>
    <t>YOSEP</t>
  </si>
  <si>
    <t>MINE PRODUCTION SUPERVISOR</t>
  </si>
  <si>
    <t>11461</t>
  </si>
  <si>
    <t>ANDI AGUNG FAISAL</t>
  </si>
  <si>
    <t>JUNIOR MINE ENGINEER</t>
  </si>
  <si>
    <t>10757</t>
  </si>
  <si>
    <t>LA ODE UMAR HADI</t>
  </si>
  <si>
    <t>FOREMAN GRADE CONTROL SHIFT 1 PIT AB</t>
  </si>
  <si>
    <t>B-05</t>
  </si>
  <si>
    <t>10999</t>
  </si>
  <si>
    <t>FAQIH NAUFAL</t>
  </si>
  <si>
    <t>ANALYST LABORATORY D</t>
  </si>
  <si>
    <t>10962</t>
  </si>
  <si>
    <t>AMIN NURSIN</t>
  </si>
  <si>
    <t>10029</t>
  </si>
  <si>
    <t>BASRUDDIN</t>
  </si>
  <si>
    <t>FOREMAN WET PREPARATION LABORATORY C</t>
  </si>
  <si>
    <t>B-06</t>
  </si>
  <si>
    <t>10989</t>
  </si>
  <si>
    <t>ASEP SAPUTRA TAONA</t>
  </si>
  <si>
    <t>ANALYST LABORATORY B</t>
  </si>
  <si>
    <t>11227</t>
  </si>
  <si>
    <t>WISNU INDRA PRATAMA</t>
  </si>
  <si>
    <t>LAB. OPERATION &amp; QUALITY LIMONITE SUPERVISOR</t>
  </si>
  <si>
    <t>11056</t>
  </si>
  <si>
    <t>JEFRY LATUMETEN</t>
  </si>
  <si>
    <t>SHIPPING DOCUMENT AND PORT OPERATION OFFICER</t>
  </si>
  <si>
    <t>B-07</t>
  </si>
  <si>
    <t>10967</t>
  </si>
  <si>
    <t>ALWI JAYA</t>
  </si>
  <si>
    <t>LABORATORY C SUPERVISOR</t>
  </si>
  <si>
    <t>10107</t>
  </si>
  <si>
    <t>RIANTO</t>
  </si>
  <si>
    <t>ORE PREPARATION SUPERINTENDENT</t>
  </si>
  <si>
    <t>ORE PREPARATION</t>
  </si>
  <si>
    <t>10801</t>
  </si>
  <si>
    <t>WAHYUDI HAMID</t>
  </si>
  <si>
    <t>DRILLING SUPPORT SUPERVISOR</t>
  </si>
  <si>
    <t>B-08</t>
  </si>
  <si>
    <t>10873</t>
  </si>
  <si>
    <t>RAHMAT HIDAYAT</t>
  </si>
  <si>
    <t>[CNI] MEP DRAFTER</t>
  </si>
  <si>
    <t>10698</t>
  </si>
  <si>
    <t>MUHAMMAD ALFARUQ</t>
  </si>
  <si>
    <t>10800</t>
  </si>
  <si>
    <t>HARTONO BASRI</t>
  </si>
  <si>
    <t>CIVIL DRAFTER</t>
  </si>
  <si>
    <t>B-09</t>
  </si>
  <si>
    <t>11444</t>
  </si>
  <si>
    <t>DWI SETIA FARDHANA</t>
  </si>
  <si>
    <t>MINE PRODUCTION ENGINEER &amp; FMS ENGINEER</t>
  </si>
  <si>
    <t>ADITYA</t>
  </si>
  <si>
    <t>FINANCE</t>
  </si>
  <si>
    <t>11068</t>
  </si>
  <si>
    <t>M. ARIO GUNAWAN BINTANG</t>
  </si>
  <si>
    <t>FINANCE STAFF</t>
  </si>
  <si>
    <t>TREASURY</t>
  </si>
  <si>
    <t>B-10</t>
  </si>
  <si>
    <t>10090</t>
  </si>
  <si>
    <t>HERMAN HALIM</t>
  </si>
  <si>
    <t>STOCKYARD &amp; BARGING B SUPERVISOR</t>
  </si>
  <si>
    <t>NOVRI</t>
  </si>
  <si>
    <t>11367</t>
  </si>
  <si>
    <t>RIZQI KHARISMA</t>
  </si>
  <si>
    <t>COST CONTROL ANALYST</t>
  </si>
  <si>
    <t>10594</t>
  </si>
  <si>
    <t>ANJANI PRASTIKA</t>
  </si>
  <si>
    <t>LABORATORY QUALITY SUPERINTENDENT</t>
  </si>
  <si>
    <t>11116</t>
  </si>
  <si>
    <t>ENDANG SRI WAHYUNI</t>
  </si>
  <si>
    <t>HCBP MINING Cum HC SITE Sr COORDINATOR SUPERINTENDENT</t>
  </si>
  <si>
    <t>C1-03</t>
  </si>
  <si>
    <t>11365</t>
  </si>
  <si>
    <t>ASHADY ADHE TRI UTAMA</t>
  </si>
  <si>
    <t>SAFETY SUPERINTENDENT</t>
  </si>
  <si>
    <t>OCCUPATIONAL HEALTH &amp; SAFETY</t>
  </si>
  <si>
    <t>C1-04</t>
  </si>
  <si>
    <t>10096</t>
  </si>
  <si>
    <t>AMRI AMPANG</t>
  </si>
  <si>
    <t>PORT FACILITIES SECURITY OFFICER (PFSO) HSE REP SUPERINTENDENT</t>
  </si>
  <si>
    <t>C1-05</t>
  </si>
  <si>
    <t>10286</t>
  </si>
  <si>
    <t>DUDIK HARYANTO</t>
  </si>
  <si>
    <t>SR &amp; SAFETY SPECIALIST</t>
  </si>
  <si>
    <t>C1-06</t>
  </si>
  <si>
    <t>11098</t>
  </si>
  <si>
    <t>HERU SETYO CAHYONO</t>
  </si>
  <si>
    <t>COST CONTROL SUPERINTENDENT</t>
  </si>
  <si>
    <t>C1-07</t>
  </si>
  <si>
    <t>10100</t>
  </si>
  <si>
    <t>FACHRUDDIN SYAMSUDDIN</t>
  </si>
  <si>
    <t>QA IMPROVEMENT SPECIALIST</t>
  </si>
  <si>
    <t>C1-08</t>
  </si>
  <si>
    <t>10997</t>
  </si>
  <si>
    <t>SETYA BUDI UTOMO</t>
  </si>
  <si>
    <t>SURVEY SUPERINTENDENT</t>
  </si>
  <si>
    <t>C1-09</t>
  </si>
  <si>
    <t>10073</t>
  </si>
  <si>
    <t>MIKAEL SAPAN MANGENDE</t>
  </si>
  <si>
    <t>MINE IMPROVEMENT SUPERINTENDENT</t>
  </si>
  <si>
    <t>C1-10</t>
  </si>
  <si>
    <t>A1064</t>
  </si>
  <si>
    <t>OBED MENGKEPE</t>
  </si>
  <si>
    <t>[CNI] SECURITY MANAGER</t>
  </si>
  <si>
    <t>SECURITY</t>
  </si>
  <si>
    <t>C1-11</t>
  </si>
  <si>
    <t>10912</t>
  </si>
  <si>
    <t>OSMAN SYAH</t>
  </si>
  <si>
    <t>PROJECT ENGINEERING SUPERINTENDENT</t>
  </si>
  <si>
    <t>C1-12</t>
  </si>
  <si>
    <t>10457</t>
  </si>
  <si>
    <t>SYAIFUL ANWAR</t>
  </si>
  <si>
    <t>PRINCIPAL ARCHITECT</t>
  </si>
  <si>
    <t>C1-13</t>
  </si>
  <si>
    <t>10114</t>
  </si>
  <si>
    <t>AKRAMAKUM RAMLI</t>
  </si>
  <si>
    <t>ENVIRONMENTAL MANAGER</t>
  </si>
  <si>
    <t>C1-14</t>
  </si>
  <si>
    <t>10455</t>
  </si>
  <si>
    <t>DARLIN</t>
  </si>
  <si>
    <t>SECURITY OPERATION &amp; SYSTEM DEVELOPMENT SUPERINTENDENT</t>
  </si>
  <si>
    <t>C1-15</t>
  </si>
  <si>
    <t>10418</t>
  </si>
  <si>
    <t>RAJENDRA PRAZAD UNSAR T.</t>
  </si>
  <si>
    <t>MINE PRODUCTION-LIMONITE MANAGER</t>
  </si>
  <si>
    <t>C1-16</t>
  </si>
  <si>
    <t>10001</t>
  </si>
  <si>
    <t>ACHMAD</t>
  </si>
  <si>
    <t>HSE-OPERATION COMPLIANCE MANAGER</t>
  </si>
  <si>
    <t>HSE-OPERATION COMPLIANCE</t>
  </si>
  <si>
    <t>10592</t>
  </si>
  <si>
    <t>ANDI MUH IKI PUJAWIJAYA RANTE GAU</t>
  </si>
  <si>
    <t>FOREMAN TRANSPORTATION</t>
  </si>
  <si>
    <t>ELISAR P</t>
  </si>
  <si>
    <t>10198</t>
  </si>
  <si>
    <t>NURFADLI</t>
  </si>
  <si>
    <t>OFFICER STOCKYARD &amp; BARGING PROJECT</t>
  </si>
  <si>
    <t>C2-03</t>
  </si>
  <si>
    <t>10458</t>
  </si>
  <si>
    <t>RUBEN SAPANG</t>
  </si>
  <si>
    <t>MINING HAULING ROAD SUPERVISOR</t>
  </si>
  <si>
    <t>10822</t>
  </si>
  <si>
    <t>PETRUS LISAN LANDE</t>
  </si>
  <si>
    <t>C2-04</t>
  </si>
  <si>
    <t>10033</t>
  </si>
  <si>
    <t>YOHANNES DALAME</t>
  </si>
  <si>
    <t>A1016</t>
  </si>
  <si>
    <t>FERYADI SUMADI</t>
  </si>
  <si>
    <t>QA IMPROVEMENT ADVISOR</t>
  </si>
  <si>
    <t>C2-05</t>
  </si>
  <si>
    <t>10669</t>
  </si>
  <si>
    <t>MARTHEN MALIK</t>
  </si>
  <si>
    <t>10032</t>
  </si>
  <si>
    <t>PETRUS PAPPANG</t>
  </si>
  <si>
    <t>FOREMAN JETTY TRANSHIPMENT</t>
  </si>
  <si>
    <t>C2-06</t>
  </si>
  <si>
    <t>A1014</t>
  </si>
  <si>
    <t>HAYA HAKIM</t>
  </si>
  <si>
    <t>10432</t>
  </si>
  <si>
    <t>SYARIFUDDIN MAJID</t>
  </si>
  <si>
    <t>PROJECT ADMINISTRATOR OFFICER</t>
  </si>
  <si>
    <t>C2-07</t>
  </si>
  <si>
    <t>SANTO RESIGN</t>
  </si>
  <si>
    <t>10887</t>
  </si>
  <si>
    <t>H. HERMANTO</t>
  </si>
  <si>
    <t>TRAINER</t>
  </si>
  <si>
    <t>C2-08</t>
  </si>
  <si>
    <t>11077</t>
  </si>
  <si>
    <t>LALU MARHAM</t>
  </si>
  <si>
    <t>11067</t>
  </si>
  <si>
    <t>ENDY NOVRYAN RIDWAN</t>
  </si>
  <si>
    <t>OCCUPATIONAL HEALTH SUPERVISOR</t>
  </si>
  <si>
    <t>C2-09</t>
  </si>
  <si>
    <t>ILHAM</t>
  </si>
  <si>
    <t>ROBIYANTO (IT)</t>
  </si>
  <si>
    <t>C2-10</t>
  </si>
  <si>
    <t>10122</t>
  </si>
  <si>
    <t>NASRULLAH</t>
  </si>
  <si>
    <t>INDUSTRIAL RELATION &amp; EMPLOYEE RELATION COORDINATOR</t>
  </si>
  <si>
    <t>RISKAL</t>
  </si>
  <si>
    <t>C2-11</t>
  </si>
  <si>
    <t>IRENE RESIGN</t>
  </si>
  <si>
    <t>10446</t>
  </si>
  <si>
    <t>NOVIANA LOURDES TONAPA</t>
  </si>
  <si>
    <t>SENIOR DATABASE ORE MODEL</t>
  </si>
  <si>
    <t>C2-12</t>
  </si>
  <si>
    <t>10094</t>
  </si>
  <si>
    <t>ANDI TENRI UJI</t>
  </si>
  <si>
    <t>PROJECT CONTROL</t>
  </si>
  <si>
    <t>10531</t>
  </si>
  <si>
    <t>INGGIT MAYANSARI, L</t>
  </si>
  <si>
    <t>COST CONTROL ENGINEER</t>
  </si>
  <si>
    <t>C2-13</t>
  </si>
  <si>
    <t>10872</t>
  </si>
  <si>
    <t>YESSI MARINTAN SIHITE</t>
  </si>
  <si>
    <t>INDUSTRIAL HYGIENE OFFICER</t>
  </si>
  <si>
    <t>20006</t>
  </si>
  <si>
    <t>FATIKA DWIPUTRI PAYUNG</t>
  </si>
  <si>
    <t>ADMIN PROJECT</t>
  </si>
  <si>
    <t>C2-14</t>
  </si>
  <si>
    <t>10662</t>
  </si>
  <si>
    <t>MUSFIRAH H. BACO</t>
  </si>
  <si>
    <t>PPM PLANNING AND MONITORING SUPERVISOR</t>
  </si>
  <si>
    <t>CSR &amp; PPM</t>
  </si>
  <si>
    <t>11200</t>
  </si>
  <si>
    <t>ANGGIA MIRAPRADITYA AMPANG</t>
  </si>
  <si>
    <t>FORESTRY DATABASE AND ADMINISTRATION</t>
  </si>
  <si>
    <t>C2-15</t>
  </si>
  <si>
    <t>10288</t>
  </si>
  <si>
    <t>OMEGA RINI SAMPETODING</t>
  </si>
  <si>
    <t>SITE OPERATION ADMIN OFFICER</t>
  </si>
  <si>
    <t>SITE OPERATION</t>
  </si>
  <si>
    <t>10371</t>
  </si>
  <si>
    <t>DIAN PERMATA RANDANAN</t>
  </si>
  <si>
    <t>COMMUNITY RELATION OFFICER</t>
  </si>
  <si>
    <t>C2-16</t>
  </si>
  <si>
    <t>11090</t>
  </si>
  <si>
    <t>ANDI AINUN NUR AZIZAH</t>
  </si>
  <si>
    <t>TALENT ACQUISITION OFFICER - MINING SITE</t>
  </si>
  <si>
    <t>TALENT ACQUISITION &amp; EMPLOYER BRANDING</t>
  </si>
  <si>
    <t>C2-17</t>
  </si>
  <si>
    <t>10022</t>
  </si>
  <si>
    <t>ALIMAS</t>
  </si>
  <si>
    <t>SURVEYOR</t>
  </si>
  <si>
    <t>10430</t>
  </si>
  <si>
    <t>HARIS</t>
  </si>
  <si>
    <t>COORDINATOR MINE SURVEY</t>
  </si>
  <si>
    <t>C2-18</t>
  </si>
  <si>
    <t>10459</t>
  </si>
  <si>
    <t>MALAHA SAMUEL</t>
  </si>
  <si>
    <t>GUEST HANDLING TEAM SUPERVISOR</t>
  </si>
  <si>
    <t>ALI CHAEDAR MOVE TO DORM A3</t>
  </si>
  <si>
    <t>C2-19</t>
  </si>
  <si>
    <t>AKRAM MOVE TO PREFAB C1</t>
  </si>
  <si>
    <t>10808</t>
  </si>
  <si>
    <t>LA HAMIMU</t>
  </si>
  <si>
    <t>MINE PRODUCTION-LIMONITE SUPERINTENDENT</t>
  </si>
  <si>
    <t>C2-20</t>
  </si>
  <si>
    <t>RAJENDRA MOVE TO PREFAB C1</t>
  </si>
  <si>
    <t>AHMAD MOVE TO PREFAB C1</t>
  </si>
  <si>
    <t>S1-01</t>
  </si>
  <si>
    <t>MULYA DJUFRI</t>
  </si>
  <si>
    <t>S1-02</t>
  </si>
  <si>
    <t>S1-03</t>
  </si>
  <si>
    <t>AKA RESIGN</t>
  </si>
  <si>
    <t>10595</t>
  </si>
  <si>
    <t>USMAN HASBI</t>
  </si>
  <si>
    <t>[B] COMMUNITY RELATION OFFICER</t>
  </si>
  <si>
    <t>S1-04</t>
  </si>
  <si>
    <t>10488</t>
  </si>
  <si>
    <t>ABDUL RAHIM SAID</t>
  </si>
  <si>
    <t>GOVERNMENT RELATION SUPERINTENDENT</t>
  </si>
  <si>
    <t>S1-05</t>
  </si>
  <si>
    <t>HENDRIK</t>
  </si>
  <si>
    <t>LANDI</t>
  </si>
  <si>
    <t>S1-06</t>
  </si>
  <si>
    <t>11103</t>
  </si>
  <si>
    <t>HAERUDDIN</t>
  </si>
  <si>
    <t>PPM PLANNING, MONITORING &amp; CSR SUPERINTENDENT</t>
  </si>
  <si>
    <t>S2-01</t>
  </si>
  <si>
    <t>A1074</t>
  </si>
  <si>
    <t>MUHAMMAD FAHMI</t>
  </si>
  <si>
    <t>COMMUNITY RELATION ADVISOR</t>
  </si>
  <si>
    <t>A1084</t>
  </si>
  <si>
    <t>KUSMAN</t>
  </si>
  <si>
    <t>FORESTRY ADVISOR</t>
  </si>
  <si>
    <t>JAKARTA OFFICE</t>
  </si>
  <si>
    <t>S2-02</t>
  </si>
  <si>
    <t>EXPLORATION</t>
  </si>
  <si>
    <t>HASRUL SELF RENTING</t>
  </si>
  <si>
    <t>11526</t>
  </si>
  <si>
    <t>ARJUNA SILEWANE</t>
  </si>
  <si>
    <t>MHR &amp; HEAVY EQUIPMENT SUPERVISOR</t>
  </si>
  <si>
    <t>S2-03</t>
  </si>
  <si>
    <t>11202</t>
  </si>
  <si>
    <t>RAHMATULLAH MURSIDA</t>
  </si>
  <si>
    <t>MAINTENANCE HEAVY EQUIPMENT SUPERVISOR</t>
  </si>
  <si>
    <t>S2-04</t>
  </si>
  <si>
    <t>10426</t>
  </si>
  <si>
    <t>ABDUL RAHIM</t>
  </si>
  <si>
    <t>TECHNICAL SERVICE SUPERINTENDENT</t>
  </si>
  <si>
    <t>10599</t>
  </si>
  <si>
    <t>NUR ANAS</t>
  </si>
  <si>
    <t>FORESTRY REHABILITATION SUPERVISOR</t>
  </si>
  <si>
    <t>S2-05</t>
  </si>
  <si>
    <t>11115</t>
  </si>
  <si>
    <t>LA USLAN</t>
  </si>
  <si>
    <t>MAINTENANCE TOWNSITE</t>
  </si>
  <si>
    <t>10843</t>
  </si>
  <si>
    <t>MUHAMMAD TAHIR</t>
  </si>
  <si>
    <t>ASSISTANT AERIAL SURVEYOR DRONE</t>
  </si>
  <si>
    <t>11145</t>
  </si>
  <si>
    <t>APRIANTO DARDJI SAPUTRO</t>
  </si>
  <si>
    <t>FUEL ADMIN OFFICER</t>
  </si>
  <si>
    <t>10575</t>
  </si>
  <si>
    <t>JAMALUDDIN</t>
  </si>
  <si>
    <t>JUNIOR ENGINEER</t>
  </si>
  <si>
    <t>S2-06</t>
  </si>
  <si>
    <t>11000</t>
  </si>
  <si>
    <t>SUTARMIN</t>
  </si>
  <si>
    <t>OPERATOR BACKHOE LOADER</t>
  </si>
  <si>
    <t>S3-01</t>
  </si>
  <si>
    <t>11497</t>
  </si>
  <si>
    <t>WILLY KRISNO</t>
  </si>
  <si>
    <t>11482</t>
  </si>
  <si>
    <t>IR. ERSON BAYU OKTARIAWAN</t>
  </si>
  <si>
    <t>SECURITY INVESTIGATION SUPERVISOR</t>
  </si>
  <si>
    <t>S3-02</t>
  </si>
  <si>
    <t>11212</t>
  </si>
  <si>
    <t>RIDWAN</t>
  </si>
  <si>
    <t>LOGISTIC SUPERINTENDENT</t>
  </si>
  <si>
    <t>S3-03</t>
  </si>
  <si>
    <t>10101</t>
  </si>
  <si>
    <t>NURRAHMAN SAPUTRA</t>
  </si>
  <si>
    <t>S3-04</t>
  </si>
  <si>
    <t>11612</t>
  </si>
  <si>
    <t>TAUVAN RUSYIATNO</t>
  </si>
  <si>
    <t>SAFETY OFFICER</t>
  </si>
  <si>
    <t>NURUDIN</t>
  </si>
  <si>
    <t>PDM - ENGGINERING</t>
  </si>
  <si>
    <t>S3-05</t>
  </si>
  <si>
    <t>11271</t>
  </si>
  <si>
    <t>EDISON PASERU</t>
  </si>
  <si>
    <t>MAINTENANCE PLANNER</t>
  </si>
  <si>
    <t>11496</t>
  </si>
  <si>
    <t>ABD GAFFAR</t>
  </si>
  <si>
    <t>CONTROL ROOM DISPATCH</t>
  </si>
  <si>
    <t>S3-06</t>
  </si>
  <si>
    <t>10197</t>
  </si>
  <si>
    <t>JONI PATAWARAN</t>
  </si>
  <si>
    <t>DRIVER SITE</t>
  </si>
  <si>
    <t>11584</t>
  </si>
  <si>
    <t>MUHAMMAD DIAN APRIANSYAH</t>
  </si>
  <si>
    <t>TNI-01</t>
  </si>
  <si>
    <t>SERMA. EKA DARMAWAN</t>
  </si>
  <si>
    <t>TNI-02</t>
  </si>
  <si>
    <t>SERTU. MADYASIN</t>
  </si>
  <si>
    <t>TNI-03</t>
  </si>
  <si>
    <t>SERTU. YUNUS SERANG</t>
  </si>
  <si>
    <t>TNI-04</t>
  </si>
  <si>
    <t>SERDA. HAERUDDIN</t>
  </si>
  <si>
    <t>TNI-05</t>
  </si>
  <si>
    <t>KOPTU. PRAMUGIANTO</t>
  </si>
  <si>
    <t>TNI-06</t>
  </si>
  <si>
    <t>KOPDA. MUHAJIR</t>
  </si>
  <si>
    <t>TNI-07</t>
  </si>
  <si>
    <t>PRAKA. MAULANA</t>
  </si>
  <si>
    <t>TNI-08</t>
  </si>
  <si>
    <t>PRAKA. MUHAMMAD AMIRULLAH</t>
  </si>
  <si>
    <t>OBV-01</t>
  </si>
  <si>
    <t>AIPTU. ABD. ASIS</t>
  </si>
  <si>
    <t>OVB-02</t>
  </si>
  <si>
    <t>IPDA JAMALUDDIN</t>
  </si>
  <si>
    <t>OVB-03</t>
  </si>
  <si>
    <t>AIPDA IKHWANTO</t>
  </si>
  <si>
    <t>OVB-04</t>
  </si>
  <si>
    <t>AIPDA. IRSAN SIRUA</t>
  </si>
  <si>
    <t>OVB-05</t>
  </si>
  <si>
    <t>BRIPKA. LD. MUH. TASRIF</t>
  </si>
  <si>
    <t>BRIGADIR. SERLIANTO</t>
  </si>
  <si>
    <t>OVB-06</t>
  </si>
  <si>
    <t xml:space="preserve">BRIGADIR. SUBHAN </t>
  </si>
  <si>
    <t>BRIGADIR. AGUNG TRIWICAKSAN</t>
  </si>
  <si>
    <t>OVB-07</t>
  </si>
  <si>
    <t xml:space="preserve">BRIPDA. FANDI </t>
  </si>
  <si>
    <t>BRIPDA. HINAYAT HUSAIN</t>
  </si>
  <si>
    <t>OVB-08</t>
  </si>
  <si>
    <t>BRIPDA. MUH. ALIF FAUSI</t>
  </si>
  <si>
    <t>11178</t>
  </si>
  <si>
    <t>WIRAHADI RAHMAT</t>
  </si>
  <si>
    <t>[A] JUNIOR GEOLOGIST</t>
  </si>
  <si>
    <t>10979</t>
  </si>
  <si>
    <t>AHMAD NUR FAJRI</t>
  </si>
  <si>
    <t>GEOLOGIST DRILLING EXPLORATION SUPERVISOR</t>
  </si>
  <si>
    <t>11309</t>
  </si>
  <si>
    <t>KURNIANSYAH</t>
  </si>
  <si>
    <t>FOREMAN GRADE CONTROL SHIFT 1 PIT CD</t>
  </si>
  <si>
    <t>11340</t>
  </si>
  <si>
    <t>MUH. DZULFAHMI RUSLI</t>
  </si>
  <si>
    <t>11523</t>
  </si>
  <si>
    <t>RAHMAT ABDILLAH</t>
  </si>
  <si>
    <t>11615</t>
  </si>
  <si>
    <t>MUH RAFLY PRATAMA</t>
  </si>
  <si>
    <t>10799</t>
  </si>
  <si>
    <t>ANDI ALFRIADI</t>
  </si>
  <si>
    <t>GEOLOGIST DRILLING DEVELOPMENT SUPERVISOR</t>
  </si>
  <si>
    <t>11621</t>
  </si>
  <si>
    <t>MUH YOGI NR</t>
  </si>
  <si>
    <t>A-4.1</t>
  </si>
  <si>
    <t>10442</t>
  </si>
  <si>
    <t>MADRIANTO RIYANDI PATILA</t>
  </si>
  <si>
    <t>DRILLING EXPLORATION &amp; DEVELOPMENT SENIOR SUPERVISOR</t>
  </si>
  <si>
    <t>INTERNSHIP (ABUDZAR ALGIFARI)</t>
  </si>
  <si>
    <t>INTERNSHIP (ADRIAN MAULANA)</t>
  </si>
  <si>
    <t>10802</t>
  </si>
  <si>
    <t>RISAL WIRAGUNA</t>
  </si>
  <si>
    <t>MINE QUALITY OR GRADE CONTROL SUPERINTENDENT</t>
  </si>
  <si>
    <t>MUH. ARYA PUTRA</t>
  </si>
  <si>
    <t>11502</t>
  </si>
  <si>
    <t>MUHAMMAD FAKHRAN HAIKAL</t>
  </si>
  <si>
    <t>11121</t>
  </si>
  <si>
    <t>FERNANDO TOBONDO</t>
  </si>
  <si>
    <t>FOREMAN GRADE CONTROL SHIFT 2 PIT AB</t>
  </si>
  <si>
    <t>11338</t>
  </si>
  <si>
    <t>MUHAMMAD RAFLY</t>
  </si>
  <si>
    <t>11382</t>
  </si>
  <si>
    <t>PUTU ARYA PUJAWAN</t>
  </si>
  <si>
    <t>[B] JUNIOR GEOLOGIST</t>
  </si>
  <si>
    <t>A-11</t>
  </si>
  <si>
    <t>11226</t>
  </si>
  <si>
    <t>EKSEL SETIAWAN MAREOLI</t>
  </si>
  <si>
    <t>10782</t>
  </si>
  <si>
    <t>AFAN PARAWANSYAH</t>
  </si>
  <si>
    <t>EXPLORATION &amp; DRILLING OPERATION SUPERINTENDENT</t>
  </si>
  <si>
    <t>10726</t>
  </si>
  <si>
    <t>UMMUL KHAERIA MAING</t>
  </si>
  <si>
    <t>PROJECT GEOLOGIST</t>
  </si>
  <si>
    <t>11468</t>
  </si>
  <si>
    <t>FITRIANI SUFIRMAN</t>
  </si>
  <si>
    <t>10834</t>
  </si>
  <si>
    <t>PUTIK NURUL ARASYI</t>
  </si>
  <si>
    <t>QAQC &amp; GEOEVALUATION GEOLOGIST</t>
  </si>
  <si>
    <t>NURRAHMANI P</t>
  </si>
  <si>
    <t>B-03.1</t>
  </si>
  <si>
    <t>11616</t>
  </si>
  <si>
    <t>FACHRUL HADI</t>
  </si>
  <si>
    <t>11562</t>
  </si>
  <si>
    <t>MUH. IQBAL GUNAWAN RAHMAN</t>
  </si>
  <si>
    <t>10405</t>
  </si>
  <si>
    <t>ARIWANSYAH AMAL</t>
  </si>
  <si>
    <t>11152</t>
  </si>
  <si>
    <t>SYAHRIL HIDAYAT</t>
  </si>
  <si>
    <t>RESOURCES SUPERINTENDENT</t>
  </si>
  <si>
    <t>C-01</t>
  </si>
  <si>
    <t>10787</t>
  </si>
  <si>
    <t>KRISTAL ONGAN</t>
  </si>
  <si>
    <t>DRILLER</t>
  </si>
  <si>
    <t>10730</t>
  </si>
  <si>
    <t>JULIADI</t>
  </si>
  <si>
    <t>C-02</t>
  </si>
  <si>
    <t>11378</t>
  </si>
  <si>
    <t>DWI SANTOSO</t>
  </si>
  <si>
    <t>10739</t>
  </si>
  <si>
    <t>TATO</t>
  </si>
  <si>
    <t>C-03</t>
  </si>
  <si>
    <t>10874</t>
  </si>
  <si>
    <t>DEDE SUHENDI</t>
  </si>
  <si>
    <t>MECHANIC</t>
  </si>
  <si>
    <t>11622</t>
  </si>
  <si>
    <t>AMIN NAIM</t>
  </si>
  <si>
    <t>C-04</t>
  </si>
  <si>
    <t>10753</t>
  </si>
  <si>
    <t>FATHA RACHMAN</t>
  </si>
  <si>
    <t>10765</t>
  </si>
  <si>
    <t>ANUS</t>
  </si>
  <si>
    <t>C-05</t>
  </si>
  <si>
    <t>10682</t>
  </si>
  <si>
    <t>INJAK</t>
  </si>
  <si>
    <t>DRILLING OPERATION &amp; MAINTENANCE SENIOR SUPERVISOR</t>
  </si>
  <si>
    <t>11475</t>
  </si>
  <si>
    <t>AGUS SUPRIADI</t>
  </si>
  <si>
    <t>MECHANIC DRILL</t>
  </si>
  <si>
    <t>TRIYASA 1</t>
  </si>
  <si>
    <t>MESS SURVEYOR</t>
  </si>
  <si>
    <t>TRIYASA 2</t>
  </si>
  <si>
    <t>TRIYASA 3</t>
  </si>
  <si>
    <t>TRIYASA 4</t>
  </si>
  <si>
    <t>CARSURIN 1</t>
  </si>
  <si>
    <t>CARSURIN 2</t>
  </si>
  <si>
    <t>CARSURIN 3</t>
  </si>
  <si>
    <t>CARSURIN 4</t>
  </si>
  <si>
    <t>CARSURIN 5</t>
  </si>
  <si>
    <t>CARSURIN 6</t>
  </si>
  <si>
    <t>CARSURIN 7</t>
  </si>
  <si>
    <t>CARSURIN 8</t>
  </si>
  <si>
    <t>CARSURIN 9</t>
  </si>
  <si>
    <t>CARSURIN 10</t>
  </si>
  <si>
    <t>CARSURIN 11</t>
  </si>
  <si>
    <t>CARSURIN 12</t>
  </si>
  <si>
    <t>CARSURIN 13</t>
  </si>
  <si>
    <t xml:space="preserve">PREPAREB FOR BRIMOB </t>
  </si>
  <si>
    <t>STILL STAY IN DORM R2</t>
  </si>
  <si>
    <t>OCCUPANTS OF PT CNI MESS</t>
  </si>
  <si>
    <t>DATA REGISTER (LAUNDRY DROP &amp; DELIVERY POINT)</t>
  </si>
  <si>
    <t>MEALS ON SCHEDULE (ACCOMODATION PROVIDED)</t>
  </si>
  <si>
    <t>MEALS FOR DELIVERY</t>
  </si>
  <si>
    <t>MEALS ON REQUEST (FOR VISITOR OR OTHER GUEST WITH NO ACCOMODATION PROVIDED)</t>
  </si>
  <si>
    <t>MEALS REQUEST FORM</t>
  </si>
  <si>
    <t>ACTION</t>
  </si>
  <si>
    <t>GUEST</t>
  </si>
  <si>
    <t>Note: Data terupdate dari Meals Request Form</t>
  </si>
  <si>
    <t>CANCELLED</t>
  </si>
  <si>
    <t>PROCEED</t>
  </si>
  <si>
    <t>ROLE</t>
  </si>
  <si>
    <t>CANTEEN OFFICER</t>
  </si>
  <si>
    <t>CANTEEN SUPERVISOR</t>
  </si>
  <si>
    <t>REQUESTED BY</t>
  </si>
  <si>
    <t>RE-DROPPED BY</t>
  </si>
  <si>
    <t>OFFICE BOY</t>
  </si>
  <si>
    <t>DELIVER POINT</t>
  </si>
  <si>
    <t>ACCEPTED</t>
  </si>
  <si>
    <t>REJECTED</t>
  </si>
  <si>
    <t>COMPLETED</t>
  </si>
  <si>
    <t>DROPPED</t>
  </si>
  <si>
    <t>DELIVERED</t>
  </si>
  <si>
    <t>REGULAR</t>
  </si>
  <si>
    <t>EXPRESS</t>
  </si>
  <si>
    <t>DISTRIBUTED</t>
  </si>
  <si>
    <t>RETURNED</t>
  </si>
  <si>
    <t>LAUNDRY RECEIVING FORM</t>
  </si>
  <si>
    <t>LAUNDRY BAG STATUS</t>
  </si>
  <si>
    <t>LAST REGISTERED</t>
  </si>
  <si>
    <t>DATA REGISTER (BEDROOM)</t>
  </si>
  <si>
    <t>MEETING ROOM</t>
  </si>
  <si>
    <t>ROOM ID</t>
  </si>
  <si>
    <t>CAPACITY</t>
  </si>
  <si>
    <t>BUILDING</t>
  </si>
  <si>
    <t>TAMBORASI</t>
  </si>
  <si>
    <t>TJ. MALAHA-1</t>
  </si>
  <si>
    <t>TJ. MALAHA-2</t>
  </si>
  <si>
    <t>PROCESS PLANT</t>
  </si>
  <si>
    <t>SUPPORTING</t>
  </si>
  <si>
    <t>BABARINA-1</t>
  </si>
  <si>
    <t>BABARINA-2</t>
  </si>
  <si>
    <t>BABARINA-3</t>
  </si>
  <si>
    <t>BABARINA-4</t>
  </si>
  <si>
    <t>CMP-MR-01</t>
  </si>
  <si>
    <t>CMP-MR-02</t>
  </si>
  <si>
    <t>CMP-MR-03</t>
  </si>
  <si>
    <t>CMP-MR-04</t>
  </si>
  <si>
    <t>CMP-MR-05</t>
  </si>
  <si>
    <t>CMP-MR-06</t>
  </si>
  <si>
    <t>CMP-MR-07</t>
  </si>
  <si>
    <t>CMP-MR-08</t>
  </si>
  <si>
    <t>CMP-MR-09</t>
  </si>
  <si>
    <t>OFFIICE U</t>
  </si>
  <si>
    <t>RE-SCHEDULLED</t>
  </si>
  <si>
    <t>RE-SHEDULLED</t>
  </si>
  <si>
    <t>RESERVATION - BEDROOM</t>
  </si>
  <si>
    <t>RESERVATION - MEETING ROOM</t>
  </si>
  <si>
    <t xml:space="preserve">MEETING ROOM </t>
  </si>
  <si>
    <t>START</t>
  </si>
  <si>
    <t>FINISH</t>
  </si>
  <si>
    <t>Reservasi selajutnya dapat dilakukan setelah CHECK OUT</t>
  </si>
  <si>
    <t>Untuk [GUEST CATEGORY] = REGULAR di tabel &lt;GUEST&gt; langsung masuk ditabel &lt;CHECK IN &amp; OUT&gt; tanpa melalui proses RESERVASI</t>
  </si>
  <si>
    <t xml:space="preserve">Jika sdh Guest dibooking di form RESERVATION maka status [ESTIMATED ARRIVAL] dan [ESTIMATED DEPARTURE] akan terisi tanggalnya </t>
  </si>
  <si>
    <t>DATA REGISTER (MEETING ROOM)</t>
  </si>
  <si>
    <t>PARTICIPANTS</t>
  </si>
  <si>
    <t>ADDITIONAL INFO</t>
  </si>
  <si>
    <r>
      <t>Jika Check In sdh dipilih di form [</t>
    </r>
    <r>
      <rPr>
        <b/>
        <sz val="11"/>
        <color theme="1"/>
        <rFont val="Calibri"/>
        <family val="2"/>
        <scheme val="minor"/>
      </rPr>
      <t>Check In/ Out</t>
    </r>
    <r>
      <rPr>
        <sz val="11"/>
        <color theme="1"/>
        <rFont val="Calibri"/>
        <family val="2"/>
        <scheme val="minor"/>
      </rPr>
      <t>] maka  tanggal Check In akan terisi  dan  GUEST STATUS = ON SITE</t>
    </r>
  </si>
  <si>
    <r>
      <t>Jika Check Out sdh dipilih di form [</t>
    </r>
    <r>
      <rPr>
        <b/>
        <sz val="11"/>
        <color theme="1"/>
        <rFont val="Calibri"/>
        <family val="2"/>
        <scheme val="minor"/>
      </rPr>
      <t>Check In/ Out</t>
    </r>
    <r>
      <rPr>
        <sz val="11"/>
        <color theme="1"/>
        <rFont val="Calibri"/>
        <family val="2"/>
        <scheme val="minor"/>
      </rPr>
      <t>] maka   tanggal Check Out akan terisi  dan GUEST STATUS = OFF SITE</t>
    </r>
  </si>
  <si>
    <t>CHECK-IN</t>
  </si>
  <si>
    <t>CHECK-OUT</t>
  </si>
  <si>
    <t>RESERVATION - BEDROOM CHECK-IN/ CHECK OUT</t>
  </si>
  <si>
    <t>BEDROOM INFORMATION</t>
  </si>
  <si>
    <t>MEETING ROOM INFORMATION</t>
  </si>
  <si>
    <t>BOOKING STATUS</t>
  </si>
  <si>
    <t>OPEN</t>
  </si>
  <si>
    <t>RESERVED BY</t>
  </si>
  <si>
    <t>FULL</t>
  </si>
  <si>
    <t>MEALS SERVICES INFORMATION</t>
  </si>
  <si>
    <t>LAUNDRY SERVICES INFORMATION</t>
  </si>
  <si>
    <t>BAGS</t>
  </si>
  <si>
    <t>LAUNDRY DELIVERING &amp; RETURNING FORM</t>
  </si>
  <si>
    <t>LAUNDRY DROPPING &amp; DISTRIBUTING FORM</t>
  </si>
  <si>
    <t>DELIVERING DATE</t>
  </si>
  <si>
    <t>RETURNING DATE</t>
  </si>
  <si>
    <t>DROPPING DATE</t>
  </si>
  <si>
    <t>DISTRIBUTING DATE</t>
  </si>
  <si>
    <t>LAUNDRY RECEIVING DETAILS FORM</t>
  </si>
  <si>
    <t>PCS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</si>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</sst>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m/d/yy\ h:mm\ AM/PM;@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9"/>
      <color indexed="81"/>
      <name val="Tahoma"/>
      <charset val="1"/>
    </font>
    <font>
      <b/>
      <sz val="10"/>
      <color rgb="FF0070C0"/>
      <name val="Calibri"/>
      <family val="2"/>
      <scheme val="minor"/>
    </font>
    <font>
      <sz val="9"/>
      <color indexed="81"/>
      <name val="Tahoma"/>
      <charset val="1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 tint="0.34998626667073579"/>
      <name val="Calibri Light"/>
      <family val="2"/>
      <scheme val="major"/>
    </font>
    <font>
      <sz val="10"/>
      <color theme="1" tint="0.34998626667073579"/>
      <name val="Calibri Light"/>
      <family val="2"/>
      <scheme val="major"/>
    </font>
    <font>
      <b/>
      <sz val="10"/>
      <color theme="1" tint="0.34998626667073579"/>
      <name val="Calibri"/>
      <family val="2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rgb="FFFF0000"/>
      <name val="Calibri Light"/>
      <family val="2"/>
      <scheme val="major"/>
    </font>
    <font>
      <i/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B9F9C7"/>
        <bgColor rgb="FFB9F9C7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1">
    <xf numFmtId="0" fontId="0" fillId="0" borderId="0" xfId="0"/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horizontal="left"/>
    </xf>
    <xf numFmtId="0" fontId="5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3" borderId="1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1" xfId="1" applyFont="1" applyBorder="1" applyAlignment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/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5" fillId="2" borderId="1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center"/>
    </xf>
    <xf numFmtId="49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1" applyFont="1"/>
    <xf numFmtId="0" fontId="17" fillId="0" borderId="0" xfId="1" applyFont="1"/>
    <xf numFmtId="0" fontId="17" fillId="0" borderId="0" xfId="1" applyFont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19" fillId="0" borderId="0" xfId="0" applyNumberFormat="1" applyFont="1"/>
    <xf numFmtId="0" fontId="9" fillId="3" borderId="1" xfId="0" applyFont="1" applyFill="1" applyBorder="1"/>
    <xf numFmtId="0" fontId="6" fillId="0" borderId="1" xfId="1" applyFont="1" applyBorder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 applyAlignment="1">
      <alignment horizontal="left"/>
    </xf>
    <xf numFmtId="0" fontId="0" fillId="0" borderId="1" xfId="0" applyBorder="1"/>
    <xf numFmtId="0" fontId="7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4" fillId="0" borderId="0" xfId="0" applyFont="1" applyAlignment="1">
      <alignment horizontal="left"/>
    </xf>
    <xf numFmtId="1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left" vertical="center"/>
    </xf>
    <xf numFmtId="0" fontId="7" fillId="0" borderId="0" xfId="0" applyFont="1"/>
    <xf numFmtId="165" fontId="14" fillId="0" borderId="0" xfId="0" applyNumberFormat="1" applyFont="1"/>
    <xf numFmtId="165" fontId="0" fillId="0" borderId="0" xfId="0" applyNumberFormat="1"/>
    <xf numFmtId="165" fontId="0" fillId="0" borderId="1" xfId="0" applyNumberFormat="1" applyBorder="1"/>
    <xf numFmtId="1" fontId="6" fillId="0" borderId="0" xfId="1" applyNumberFormat="1" applyFont="1" applyAlignment="1">
      <alignment horizontal="center" vertical="center"/>
    </xf>
    <xf numFmtId="165" fontId="10" fillId="0" borderId="0" xfId="0" applyNumberFormat="1" applyFont="1"/>
    <xf numFmtId="0" fontId="10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9" fillId="0" borderId="1" xfId="0" quotePrefix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165" fontId="17" fillId="0" borderId="0" xfId="1" applyNumberFormat="1" applyFont="1"/>
    <xf numFmtId="165" fontId="4" fillId="0" borderId="0" xfId="1" applyNumberFormat="1" applyFont="1"/>
    <xf numFmtId="165" fontId="21" fillId="0" borderId="0" xfId="0" applyNumberFormat="1" applyFont="1" applyAlignment="1">
      <alignment horizontal="left" vertical="center"/>
    </xf>
    <xf numFmtId="1" fontId="6" fillId="3" borderId="1" xfId="1" applyNumberFormat="1" applyFont="1" applyFill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center" wrapText="1"/>
    </xf>
    <xf numFmtId="165" fontId="22" fillId="2" borderId="1" xfId="1" applyNumberFormat="1" applyFont="1" applyFill="1" applyBorder="1" applyAlignment="1">
      <alignment horizontal="center" vertical="center" wrapText="1"/>
    </xf>
    <xf numFmtId="0" fontId="22" fillId="4" borderId="1" xfId="1" applyFont="1" applyFill="1" applyBorder="1" applyAlignment="1">
      <alignment horizontal="center" vertical="center" wrapText="1"/>
    </xf>
    <xf numFmtId="0" fontId="22" fillId="0" borderId="0" xfId="1" applyFont="1" applyAlignment="1">
      <alignment horizontal="center" vertical="center" wrapText="1"/>
    </xf>
    <xf numFmtId="0" fontId="22" fillId="3" borderId="0" xfId="1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left"/>
    </xf>
    <xf numFmtId="165" fontId="9" fillId="0" borderId="1" xfId="0" applyNumberFormat="1" applyFont="1" applyBorder="1"/>
    <xf numFmtId="0" fontId="11" fillId="0" borderId="0" xfId="0" applyFont="1"/>
    <xf numFmtId="165" fontId="9" fillId="3" borderId="1" xfId="0" applyNumberFormat="1" applyFont="1" applyFill="1" applyBorder="1" applyAlignment="1">
      <alignment horizontal="left"/>
    </xf>
    <xf numFmtId="165" fontId="9" fillId="3" borderId="1" xfId="0" applyNumberFormat="1" applyFont="1" applyFill="1" applyBorder="1"/>
    <xf numFmtId="0" fontId="9" fillId="3" borderId="0" xfId="0" applyFont="1" applyFill="1"/>
    <xf numFmtId="0" fontId="23" fillId="0" borderId="0" xfId="1" applyFont="1"/>
    <xf numFmtId="0" fontId="23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4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24" fillId="0" borderId="0" xfId="1" applyFont="1"/>
    <xf numFmtId="0" fontId="25" fillId="2" borderId="1" xfId="1" applyFont="1" applyFill="1" applyBorder="1" applyAlignment="1">
      <alignment horizontal="center" vertical="center" wrapText="1"/>
    </xf>
    <xf numFmtId="0" fontId="23" fillId="3" borderId="1" xfId="1" applyFont="1" applyFill="1" applyBorder="1" applyAlignment="1">
      <alignment horizontal="center" vertical="center" wrapText="1"/>
    </xf>
    <xf numFmtId="0" fontId="23" fillId="2" borderId="1" xfId="1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26" fillId="0" borderId="1" xfId="0" applyFont="1" applyBorder="1"/>
    <xf numFmtId="0" fontId="26" fillId="5" borderId="1" xfId="0" quotePrefix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5" borderId="1" xfId="0" quotePrefix="1" applyFont="1" applyFill="1" applyBorder="1" applyAlignment="1">
      <alignment horizontal="center" vertical="center"/>
    </xf>
    <xf numFmtId="0" fontId="26" fillId="5" borderId="1" xfId="0" applyFont="1" applyFill="1" applyBorder="1"/>
    <xf numFmtId="0" fontId="26" fillId="0" borderId="0" xfId="0" applyFont="1"/>
    <xf numFmtId="0" fontId="28" fillId="0" borderId="1" xfId="0" applyFont="1" applyBorder="1"/>
    <xf numFmtId="0" fontId="29" fillId="0" borderId="1" xfId="0" applyFont="1" applyBorder="1"/>
    <xf numFmtId="0" fontId="29" fillId="5" borderId="1" xfId="0" quotePrefix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5" borderId="1" xfId="0" applyFont="1" applyFill="1" applyBorder="1"/>
    <xf numFmtId="0" fontId="29" fillId="0" borderId="1" xfId="0" applyFont="1" applyBorder="1" applyAlignment="1">
      <alignment horizontal="left" vertical="center"/>
    </xf>
    <xf numFmtId="0" fontId="29" fillId="0" borderId="0" xfId="0" applyFont="1"/>
    <xf numFmtId="0" fontId="29" fillId="3" borderId="1" xfId="0" applyFont="1" applyFill="1" applyBorder="1" applyAlignment="1">
      <alignment horizontal="center" vertical="center"/>
    </xf>
    <xf numFmtId="0" fontId="29" fillId="6" borderId="1" xfId="0" applyFont="1" applyFill="1" applyBorder="1"/>
    <xf numFmtId="0" fontId="30" fillId="0" borderId="1" xfId="0" applyFont="1" applyBorder="1" applyAlignment="1">
      <alignment horizontal="center" vertical="center"/>
    </xf>
    <xf numFmtId="0" fontId="31" fillId="5" borderId="1" xfId="0" applyFont="1" applyFill="1" applyBorder="1"/>
    <xf numFmtId="0" fontId="29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vertical="center"/>
    </xf>
    <xf numFmtId="0" fontId="29" fillId="0" borderId="1" xfId="0" applyFont="1" applyBorder="1" applyAlignment="1">
      <alignment horizontal="left"/>
    </xf>
    <xf numFmtId="0" fontId="29" fillId="0" borderId="1" xfId="0" applyFont="1" applyBorder="1" applyAlignment="1">
      <alignment horizontal="center"/>
    </xf>
    <xf numFmtId="0" fontId="29" fillId="5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6" fillId="0" borderId="1" xfId="0" quotePrefix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32" fillId="7" borderId="1" xfId="0" applyFont="1" applyFill="1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/>
    </xf>
    <xf numFmtId="0" fontId="26" fillId="6" borderId="1" xfId="0" applyFont="1" applyFill="1" applyBorder="1" applyAlignment="1">
      <alignment vertical="center"/>
    </xf>
    <xf numFmtId="0" fontId="28" fillId="5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3" fillId="3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26" fillId="3" borderId="1" xfId="0" applyFont="1" applyFill="1" applyBorder="1" applyAlignment="1">
      <alignment horizontal="left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/>
    <xf numFmtId="0" fontId="34" fillId="0" borderId="1" xfId="0" applyFont="1" applyBorder="1" applyAlignment="1">
      <alignment horizontal="center"/>
    </xf>
    <xf numFmtId="0" fontId="34" fillId="0" borderId="0" xfId="0" applyFont="1"/>
    <xf numFmtId="49" fontId="34" fillId="0" borderId="0" xfId="0" applyNumberFormat="1" applyFont="1" applyAlignment="1">
      <alignment horizontal="center" vertical="center"/>
    </xf>
    <xf numFmtId="0" fontId="35" fillId="0" borderId="1" xfId="0" applyFont="1" applyBorder="1"/>
    <xf numFmtId="0" fontId="36" fillId="0" borderId="1" xfId="0" applyFont="1" applyBorder="1"/>
    <xf numFmtId="49" fontId="26" fillId="0" borderId="0" xfId="0" applyNumberFormat="1" applyFont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2" fillId="0" borderId="1" xfId="0" applyFont="1" applyBorder="1"/>
    <xf numFmtId="0" fontId="27" fillId="0" borderId="1" xfId="0" applyFont="1" applyBorder="1" applyAlignment="1">
      <alignment horizontal="left"/>
    </xf>
    <xf numFmtId="0" fontId="26" fillId="3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29" fillId="0" borderId="1" xfId="0" quotePrefix="1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29" fillId="3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29" fillId="0" borderId="1" xfId="0" quotePrefix="1" applyFont="1" applyBorder="1" applyAlignment="1">
      <alignment horizontal="center"/>
    </xf>
    <xf numFmtId="49" fontId="26" fillId="0" borderId="0" xfId="0" applyNumberFormat="1" applyFont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vertical="center"/>
    </xf>
    <xf numFmtId="0" fontId="26" fillId="3" borderId="1" xfId="0" applyFont="1" applyFill="1" applyBorder="1"/>
    <xf numFmtId="49" fontId="2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1" fontId="26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6" fillId="0" borderId="0" xfId="0" applyFont="1" applyAlignment="1">
      <alignment horizontal="center"/>
    </xf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horizontal="left"/>
    </xf>
    <xf numFmtId="0" fontId="10" fillId="3" borderId="0" xfId="0" applyFont="1" applyFill="1" applyAlignment="1">
      <alignment vertical="center"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6" xfId="0" applyBorder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38" fillId="8" borderId="0" xfId="0" applyFont="1" applyFill="1" applyAlignment="1">
      <alignment horizontal="center" vertical="center" wrapText="1"/>
    </xf>
    <xf numFmtId="0" fontId="38" fillId="8" borderId="0" xfId="0" applyFont="1" applyFill="1" applyAlignment="1">
      <alignment horizontal="center" vertical="center"/>
    </xf>
    <xf numFmtId="49" fontId="6" fillId="0" borderId="0" xfId="1" applyNumberFormat="1" applyFont="1" applyAlignment="1">
      <alignment horizontal="left" vertical="center"/>
    </xf>
    <xf numFmtId="0" fontId="0" fillId="9" borderId="0" xfId="0" applyFill="1" applyAlignment="1">
      <alignment horizontal="center"/>
    </xf>
    <xf numFmtId="49" fontId="6" fillId="9" borderId="0" xfId="1" applyNumberFormat="1" applyFont="1" applyFill="1" applyAlignment="1">
      <alignment horizontal="left" vertical="center"/>
    </xf>
    <xf numFmtId="0" fontId="6" fillId="9" borderId="0" xfId="1" applyFont="1" applyFill="1" applyAlignment="1">
      <alignment horizontal="left" vertical="center"/>
    </xf>
    <xf numFmtId="0" fontId="6" fillId="9" borderId="0" xfId="1" applyFont="1" applyFill="1" applyAlignment="1">
      <alignment horizontal="center" vertical="center"/>
    </xf>
    <xf numFmtId="0" fontId="0" fillId="9" borderId="0" xfId="0" applyFill="1"/>
    <xf numFmtId="0" fontId="0" fillId="10" borderId="1" xfId="0" applyFill="1" applyBorder="1"/>
    <xf numFmtId="1" fontId="6" fillId="10" borderId="1" xfId="1" applyNumberFormat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left" vertical="center"/>
    </xf>
    <xf numFmtId="165" fontId="0" fillId="10" borderId="1" xfId="0" applyNumberFormat="1" applyFill="1" applyBorder="1"/>
    <xf numFmtId="0" fontId="10" fillId="10" borderId="1" xfId="0" applyFont="1" applyFill="1" applyBorder="1"/>
    <xf numFmtId="0" fontId="0" fillId="10" borderId="0" xfId="0" applyFill="1"/>
    <xf numFmtId="1" fontId="6" fillId="10" borderId="0" xfId="1" applyNumberFormat="1" applyFont="1" applyFill="1" applyAlignment="1">
      <alignment horizontal="center" vertical="center"/>
    </xf>
    <xf numFmtId="0" fontId="6" fillId="10" borderId="0" xfId="1" applyFont="1" applyFill="1" applyAlignment="1">
      <alignment horizontal="center" vertical="center"/>
    </xf>
    <xf numFmtId="0" fontId="6" fillId="10" borderId="0" xfId="1" applyFont="1" applyFill="1" applyAlignment="1">
      <alignment horizontal="left" vertical="center"/>
    </xf>
    <xf numFmtId="165" fontId="0" fillId="10" borderId="0" xfId="0" applyNumberFormat="1" applyFill="1"/>
    <xf numFmtId="0" fontId="10" fillId="10" borderId="0" xfId="0" applyFont="1" applyFill="1"/>
    <xf numFmtId="1" fontId="6" fillId="11" borderId="0" xfId="1" applyNumberFormat="1" applyFont="1" applyFill="1" applyAlignment="1">
      <alignment horizontal="center" vertical="center"/>
    </xf>
    <xf numFmtId="0" fontId="6" fillId="11" borderId="0" xfId="1" applyFont="1" applyFill="1" applyAlignment="1">
      <alignment horizontal="left" vertical="center"/>
    </xf>
    <xf numFmtId="0" fontId="6" fillId="11" borderId="0" xfId="1" applyFont="1" applyFill="1" applyAlignment="1">
      <alignment horizontal="center" vertical="center"/>
    </xf>
    <xf numFmtId="165" fontId="0" fillId="11" borderId="0" xfId="0" applyNumberFormat="1" applyFill="1"/>
    <xf numFmtId="0" fontId="0" fillId="11" borderId="0" xfId="0" applyFill="1"/>
    <xf numFmtId="0" fontId="10" fillId="11" borderId="0" xfId="0" applyFont="1" applyFill="1"/>
    <xf numFmtId="1" fontId="6" fillId="9" borderId="0" xfId="1" applyNumberFormat="1" applyFont="1" applyFill="1" applyAlignment="1">
      <alignment horizontal="center" vertical="center"/>
    </xf>
    <xf numFmtId="165" fontId="0" fillId="9" borderId="0" xfId="0" applyNumberFormat="1" applyFill="1"/>
    <xf numFmtId="0" fontId="10" fillId="9" borderId="0" xfId="0" applyFont="1" applyFill="1"/>
    <xf numFmtId="0" fontId="38" fillId="8" borderId="1" xfId="0" applyFont="1" applyFill="1" applyBorder="1" applyAlignment="1">
      <alignment horizontal="center" vertical="center" wrapText="1"/>
    </xf>
    <xf numFmtId="0" fontId="38" fillId="8" borderId="2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/>
    </xf>
    <xf numFmtId="49" fontId="6" fillId="11" borderId="0" xfId="1" applyNumberFormat="1" applyFont="1" applyFill="1" applyAlignment="1">
      <alignment horizontal="center" vertical="center"/>
    </xf>
    <xf numFmtId="0" fontId="7" fillId="11" borderId="0" xfId="1" applyFont="1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49" fontId="6" fillId="10" borderId="0" xfId="1" applyNumberFormat="1" applyFont="1" applyFill="1" applyAlignment="1">
      <alignment horizontal="center" vertical="center"/>
    </xf>
    <xf numFmtId="0" fontId="7" fillId="10" borderId="0" xfId="1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49" fontId="38" fillId="8" borderId="0" xfId="1" applyNumberFormat="1" applyFont="1" applyFill="1" applyAlignment="1">
      <alignment horizontal="center" vertical="center" wrapText="1"/>
    </xf>
    <xf numFmtId="0" fontId="38" fillId="8" borderId="0" xfId="1" applyFont="1" applyFill="1" applyAlignment="1">
      <alignment horizontal="center" vertical="center" wrapText="1"/>
    </xf>
    <xf numFmtId="0" fontId="38" fillId="8" borderId="1" xfId="0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left"/>
    </xf>
    <xf numFmtId="165" fontId="9" fillId="10" borderId="0" xfId="0" applyNumberFormat="1" applyFont="1" applyFill="1" applyAlignment="1">
      <alignment horizontal="left"/>
    </xf>
    <xf numFmtId="0" fontId="39" fillId="8" borderId="0" xfId="0" applyFont="1" applyFill="1" applyAlignment="1">
      <alignment horizontal="center" vertical="center" wrapText="1"/>
    </xf>
    <xf numFmtId="0" fontId="39" fillId="8" borderId="1" xfId="0" applyFont="1" applyFill="1" applyBorder="1" applyAlignment="1">
      <alignment horizontal="center" vertical="center" wrapText="1"/>
    </xf>
    <xf numFmtId="0" fontId="7" fillId="11" borderId="1" xfId="0" applyFont="1" applyFill="1" applyBorder="1"/>
    <xf numFmtId="0" fontId="7" fillId="11" borderId="0" xfId="0" applyFont="1" applyFill="1"/>
    <xf numFmtId="0" fontId="10" fillId="3" borderId="0" xfId="0" applyFont="1" applyFill="1" applyAlignment="1">
      <alignment horizontal="center" vertical="center" wrapText="1"/>
    </xf>
    <xf numFmtId="165" fontId="38" fillId="8" borderId="2" xfId="0" applyNumberFormat="1" applyFont="1" applyFill="1" applyBorder="1" applyAlignment="1">
      <alignment horizontal="center" vertical="center" wrapText="1"/>
    </xf>
    <xf numFmtId="165" fontId="38" fillId="8" borderId="4" xfId="0" applyNumberFormat="1" applyFont="1" applyFill="1" applyBorder="1" applyAlignment="1">
      <alignment horizontal="center" vertical="center" wrapText="1"/>
    </xf>
    <xf numFmtId="0" fontId="38" fillId="8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6" fillId="0" borderId="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8" fillId="0" borderId="1" xfId="0" applyFont="1" applyBorder="1"/>
    <xf numFmtId="0" fontId="29" fillId="0" borderId="2" xfId="0" quotePrefix="1" applyFont="1" applyBorder="1" applyAlignment="1">
      <alignment horizontal="center" vertical="center"/>
    </xf>
    <xf numFmtId="0" fontId="29" fillId="0" borderId="4" xfId="0" quotePrefix="1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30" fillId="0" borderId="1" xfId="0" applyFont="1" applyBorder="1"/>
    <xf numFmtId="0" fontId="28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/>
    <xf numFmtId="0" fontId="26" fillId="0" borderId="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 vertical="center" wrapText="1"/>
    </xf>
    <xf numFmtId="0" fontId="29" fillId="5" borderId="1" xfId="0" quotePrefix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/>
    </xf>
    <xf numFmtId="0" fontId="26" fillId="0" borderId="2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8" fillId="8" borderId="0" xfId="0" applyFont="1" applyFill="1" applyAlignment="1">
      <alignment horizontal="center" vertical="center" wrapText="1"/>
    </xf>
    <xf numFmtId="165" fontId="38" fillId="8" borderId="0" xfId="0" applyNumberFormat="1" applyFont="1" applyFill="1" applyAlignment="1">
      <alignment horizontal="center" vertical="center" wrapText="1"/>
    </xf>
    <xf numFmtId="0" fontId="38" fillId="8" borderId="2" xfId="0" applyFont="1" applyFill="1" applyBorder="1" applyAlignment="1">
      <alignment horizontal="center" vertical="center" wrapText="1"/>
    </xf>
    <xf numFmtId="0" fontId="38" fillId="8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</cellXfs>
  <cellStyles count="3">
    <cellStyle name="Normal" xfId="0" builtinId="0"/>
    <cellStyle name="Normal 2" xfId="1" xr:uid="{071A0C7B-9F1B-4235-B1E0-B1179EE52947}"/>
    <cellStyle name="Normal 2 2" xfId="2" xr:uid="{ABB071D4-59DB-44E8-A38A-A03FB42294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l%20Data%20Project%20Suport\2019\Un-Plan%20Activity\Gudang%20Handak%20SMO&amp;BMO\TEMPO\lintec-sumic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4\c\My%20Documents\CHO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ofilament%20Renovation-ALT-1%20R1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SUM-PRO (4)"/>
      <sheetName val="SUM-PRO (3)"/>
      <sheetName val="SUM-PRO (2)"/>
      <sheetName val="SUM-PRO"/>
      <sheetName val="SEX (4)"/>
      <sheetName val="SEX (3)"/>
      <sheetName val="SEX (2)"/>
      <sheetName val="SEX"/>
      <sheetName val="scope"/>
      <sheetName val="MAKER"/>
      <sheetName val="PRO-PH3"/>
      <sheetName val="PRO-PH2"/>
      <sheetName val="PRO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P7" t="str">
            <v xml:space="preserve">B U D G E T A R Y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N"/>
      <sheetName val="SCOPE"/>
      <sheetName val="MAKER"/>
      <sheetName val="BQ"/>
      <sheetName val="PROFIT"/>
      <sheetName val="SRT"/>
      <sheetName val="SUM-PRO"/>
      <sheetName val="SEX"/>
      <sheetName val="DBP-0200"/>
      <sheetName val="I-ME"/>
      <sheetName val="Steel-Twr"/>
      <sheetName val="HARGA MATERIAL"/>
      <sheetName val="KH-Q1,Q2,01"/>
      <sheetName val="upah_borong"/>
      <sheetName val="harsat"/>
      <sheetName val="I-KAMAR"/>
      <sheetName val="DAF-1"/>
      <sheetName val="L-Mechanical"/>
      <sheetName val="gvl"/>
      <sheetName val="A"/>
      <sheetName val="MAT'L LLIST"/>
      <sheetName val="tifico"/>
      <sheetName val="villa"/>
      <sheetName val="SITE-E"/>
      <sheetName val="Week9-Feb    "/>
      <sheetName val="01A- RAB"/>
      <sheetName val="AC"/>
      <sheetName val="DATA HARGA"/>
      <sheetName val="NET表"/>
      <sheetName val="BQ表"/>
      <sheetName val="PPC"/>
      <sheetName val="H.Satuan"/>
      <sheetName val="Rekap Addendum"/>
      <sheetName val="G_SUMMARY"/>
      <sheetName val="Database"/>
      <sheetName val="M5"/>
      <sheetName val="Basement"/>
      <sheetName val="lantai 1"/>
      <sheetName val="lantai 10"/>
      <sheetName val="lantai 11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Atap &amp; Atap R. Mesin"/>
      <sheetName val="lantai mezz"/>
      <sheetName val="Struktur Atas"/>
      <sheetName val="Rekap Tot"/>
      <sheetName val="AHSAT"/>
      <sheetName val="AHSATBAJA"/>
      <sheetName val="Policy"/>
      <sheetName val="PEK TAMBAH KURANG"/>
      <sheetName val="Persiap"/>
      <sheetName val="Tampak"/>
      <sheetName val="Rekap ARS"/>
      <sheetName val="Rekap Persiapan"/>
      <sheetName val="Str Rekap"/>
      <sheetName val="BAHAN"/>
      <sheetName val="Kolom UT"/>
      <sheetName val="RAB AR&amp;STR"/>
      <sheetName val="GRAND REKAP"/>
      <sheetName val="Estimate"/>
      <sheetName val="BQ-E20-02(Rp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 comparison"/>
      <sheetName val="Review-items"/>
      <sheetName val="G-1 "/>
      <sheetName val="PS"/>
      <sheetName val="Comparison sheet"/>
      <sheetName val="SUMMARY"/>
      <sheetName val="A-PREP.1"/>
      <sheetName val="B-STR.1"/>
      <sheetName val="C-FIN.1"/>
      <sheetName val="D-PREP.2"/>
      <sheetName val="E-PREP.3"/>
      <sheetName val="F-STR.2"/>
      <sheetName val="G-FIN.2"/>
      <sheetName val="H-OTHER"/>
      <sheetName val="I-ME"/>
      <sheetName val="TW"/>
      <sheetName val="EXP"/>
      <sheetName val="SCHEDULE"/>
      <sheetName val="prelim-schedule"/>
      <sheetName val="I_ME"/>
      <sheetName val="harsat"/>
      <sheetName val="YTD'97 Sales"/>
      <sheetName val="Week9-Feb    "/>
      <sheetName val="Week31-August"/>
      <sheetName val="ESCON"/>
      <sheetName val="BQ"/>
      <sheetName val="Steel-Twr"/>
      <sheetName val="Ahs_2"/>
      <sheetName val="Ahs_1"/>
      <sheetName val="anal"/>
      <sheetName val="351BQMCN"/>
      <sheetName val="Analisa HSP"/>
      <sheetName val="H.Satuan"/>
      <sheetName val="HB "/>
      <sheetName val="RAB"/>
      <sheetName val="Ahs.2"/>
      <sheetName val="Ahs.1"/>
      <sheetName val="an. struktur"/>
      <sheetName val="Dashboard"/>
      <sheetName val="DATA"/>
      <sheetName val="PPC"/>
      <sheetName val="SAP"/>
      <sheetName val="PC"/>
      <sheetName val="Balok"/>
      <sheetName val="Analisa Electronic"/>
      <sheetName val="upah"/>
      <sheetName val="PricePenawaran"/>
      <sheetName val="Analisa AC"/>
      <sheetName val="Analisa Lampu"/>
      <sheetName val="struktur"/>
      <sheetName val="Daf Harga"/>
      <sheetName val="Bill"/>
      <sheetName val="Rekap Bill"/>
      <sheetName val="Menu"/>
      <sheetName val="An_ Harga"/>
      <sheetName val="HRG BAHAN &amp; UPAH okk"/>
      <sheetName val="Analis Kusen okk"/>
      <sheetName val="A"/>
      <sheetName val="SEX"/>
      <sheetName val="HARGA MATERIAL"/>
      <sheetName val="Estimate"/>
      <sheetName val="tifico"/>
      <sheetName val="AC"/>
      <sheetName val="Currency Rate"/>
      <sheetName val="Pipe"/>
      <sheetName val="BAG-2"/>
      <sheetName val="Anaisa  BETON "/>
      <sheetName val="Input"/>
      <sheetName val="Fill this out first..."/>
      <sheetName val="rumus"/>
      <sheetName val="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6B1A-8158-413F-9CD5-A1815DAE3CB2}">
  <sheetPr>
    <tabColor rgb="FF00B0F0"/>
    <outlinePr summaryBelow="0" summaryRight="0"/>
  </sheetPr>
  <dimension ref="A1:P978"/>
  <sheetViews>
    <sheetView zoomScaleNormal="100"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C153" sqref="C153"/>
    </sheetView>
  </sheetViews>
  <sheetFormatPr defaultColWidth="14.44140625" defaultRowHeight="15" customHeight="1" x14ac:dyDescent="0.3"/>
  <cols>
    <col min="1" max="1" width="20.5546875" style="107" customWidth="1"/>
    <col min="2" max="2" width="16.109375" style="107" bestFit="1" customWidth="1"/>
    <col min="3" max="3" width="14.109375" style="107" bestFit="1" customWidth="1"/>
    <col min="4" max="4" width="9.44140625" style="107" bestFit="1" customWidth="1"/>
    <col min="5" max="5" width="6.5546875" style="107" bestFit="1" customWidth="1"/>
    <col min="6" max="6" width="9.44140625" style="181" customWidth="1"/>
    <col min="7" max="7" width="10.6640625" style="181" bestFit="1" customWidth="1"/>
    <col min="8" max="8" width="9.5546875" style="181" bestFit="1" customWidth="1"/>
    <col min="9" max="9" width="8" style="107" bestFit="1" customWidth="1"/>
    <col min="10" max="10" width="32" style="107" bestFit="1" customWidth="1"/>
    <col min="11" max="11" width="14.6640625" style="107" customWidth="1"/>
    <col min="12" max="12" width="19.5546875" style="107" customWidth="1"/>
    <col min="13" max="13" width="55.21875" style="107" bestFit="1" customWidth="1"/>
    <col min="14" max="14" width="10.44140625" style="107" bestFit="1" customWidth="1"/>
    <col min="15" max="15" width="27.5546875" style="107" bestFit="1" customWidth="1"/>
    <col min="16" max="16384" width="14.44140625" style="107"/>
  </cols>
  <sheetData>
    <row r="1" spans="1:15" s="38" customFormat="1" ht="15.6" x14ac:dyDescent="0.3">
      <c r="A1" s="38" t="s">
        <v>1569</v>
      </c>
      <c r="B1" s="182"/>
      <c r="C1" s="182"/>
      <c r="D1" s="183"/>
      <c r="E1" s="183"/>
      <c r="F1" s="182"/>
      <c r="G1" s="182"/>
      <c r="H1" s="182"/>
      <c r="I1" s="184"/>
      <c r="J1" s="184"/>
      <c r="O1" s="184"/>
    </row>
    <row r="2" spans="1:15" s="97" customFormat="1" ht="13.8" x14ac:dyDescent="0.3">
      <c r="A2" s="92"/>
      <c r="B2" s="93"/>
      <c r="C2" s="93"/>
      <c r="D2" s="94"/>
      <c r="E2" s="94"/>
      <c r="F2" s="95"/>
      <c r="G2" s="95"/>
      <c r="H2" s="95"/>
      <c r="I2" s="96"/>
      <c r="J2" s="96"/>
      <c r="O2" s="96"/>
    </row>
    <row r="3" spans="1:15" s="101" customFormat="1" ht="27.6" x14ac:dyDescent="0.3">
      <c r="A3" s="98" t="s">
        <v>646</v>
      </c>
      <c r="B3" s="98" t="s">
        <v>99</v>
      </c>
      <c r="C3" s="98" t="s">
        <v>618</v>
      </c>
      <c r="D3" s="98" t="s">
        <v>0</v>
      </c>
      <c r="E3" s="99" t="s">
        <v>629</v>
      </c>
      <c r="F3" s="100" t="s">
        <v>795</v>
      </c>
      <c r="G3" s="100" t="s">
        <v>796</v>
      </c>
      <c r="H3" s="100" t="s">
        <v>1</v>
      </c>
      <c r="I3" s="98" t="s">
        <v>797</v>
      </c>
      <c r="J3" s="100" t="s">
        <v>2</v>
      </c>
      <c r="K3" s="100" t="s">
        <v>798</v>
      </c>
      <c r="L3" s="100" t="s">
        <v>799</v>
      </c>
      <c r="M3" s="100" t="s">
        <v>800</v>
      </c>
      <c r="N3" s="100" t="s">
        <v>801</v>
      </c>
      <c r="O3" s="100" t="s">
        <v>3</v>
      </c>
    </row>
    <row r="4" spans="1:15" ht="14.25" customHeight="1" x14ac:dyDescent="0.3">
      <c r="A4" s="102" t="s">
        <v>39</v>
      </c>
      <c r="B4" s="102" t="s">
        <v>802</v>
      </c>
      <c r="C4" s="6" t="s">
        <v>118</v>
      </c>
      <c r="D4" s="20" t="s">
        <v>459</v>
      </c>
      <c r="E4" s="103" t="s">
        <v>803</v>
      </c>
      <c r="F4" s="104">
        <v>1</v>
      </c>
      <c r="G4" s="104">
        <v>1</v>
      </c>
      <c r="H4" s="104">
        <f t="shared" ref="H4:H7" si="0">F4-G4</f>
        <v>0</v>
      </c>
      <c r="I4" s="104"/>
      <c r="J4" s="105"/>
      <c r="K4" s="105"/>
      <c r="L4" s="106"/>
      <c r="M4" s="102"/>
      <c r="N4" s="102"/>
      <c r="O4" s="102"/>
    </row>
    <row r="5" spans="1:15" ht="14.25" customHeight="1" x14ac:dyDescent="0.3">
      <c r="A5" s="102" t="s">
        <v>39</v>
      </c>
      <c r="B5" s="102" t="s">
        <v>802</v>
      </c>
      <c r="C5" s="6" t="s">
        <v>118</v>
      </c>
      <c r="D5" s="26" t="s">
        <v>460</v>
      </c>
      <c r="E5" s="103" t="s">
        <v>804</v>
      </c>
      <c r="F5" s="104">
        <v>1</v>
      </c>
      <c r="G5" s="104">
        <v>1</v>
      </c>
      <c r="H5" s="104">
        <f t="shared" si="0"/>
        <v>0</v>
      </c>
      <c r="I5" s="104"/>
      <c r="J5" s="108"/>
      <c r="K5" s="108"/>
      <c r="L5" s="106"/>
      <c r="M5" s="102"/>
      <c r="N5" s="102"/>
      <c r="O5" s="102"/>
    </row>
    <row r="6" spans="1:15" ht="13.05" customHeight="1" x14ac:dyDescent="0.3">
      <c r="A6" s="102" t="s">
        <v>39</v>
      </c>
      <c r="B6" s="102" t="s">
        <v>802</v>
      </c>
      <c r="C6" s="6" t="s">
        <v>118</v>
      </c>
      <c r="D6" s="26" t="s">
        <v>461</v>
      </c>
      <c r="E6" s="103" t="s">
        <v>805</v>
      </c>
      <c r="F6" s="104">
        <v>1</v>
      </c>
      <c r="G6" s="104">
        <v>1</v>
      </c>
      <c r="H6" s="104">
        <f t="shared" si="0"/>
        <v>0</v>
      </c>
      <c r="I6" s="104"/>
      <c r="J6" s="108"/>
      <c r="K6" s="108"/>
      <c r="L6" s="106"/>
      <c r="M6" s="102"/>
      <c r="N6" s="102"/>
      <c r="O6" s="102"/>
    </row>
    <row r="7" spans="1:15" ht="14.25" customHeight="1" x14ac:dyDescent="0.3">
      <c r="A7" s="102" t="s">
        <v>39</v>
      </c>
      <c r="B7" s="102" t="s">
        <v>802</v>
      </c>
      <c r="C7" s="6" t="s">
        <v>118</v>
      </c>
      <c r="D7" s="26" t="s">
        <v>462</v>
      </c>
      <c r="E7" s="103" t="s">
        <v>806</v>
      </c>
      <c r="F7" s="104">
        <v>1</v>
      </c>
      <c r="G7" s="104">
        <v>1</v>
      </c>
      <c r="H7" s="104">
        <f t="shared" si="0"/>
        <v>0</v>
      </c>
      <c r="I7" s="104"/>
      <c r="J7" s="108"/>
      <c r="K7" s="108"/>
      <c r="L7" s="106"/>
      <c r="M7" s="102"/>
      <c r="N7" s="102"/>
      <c r="O7" s="102"/>
    </row>
    <row r="8" spans="1:15" ht="14.25" customHeight="1" x14ac:dyDescent="0.3">
      <c r="A8" s="102" t="s">
        <v>39</v>
      </c>
      <c r="B8" s="102" t="s">
        <v>807</v>
      </c>
      <c r="C8" s="6" t="s">
        <v>119</v>
      </c>
      <c r="D8" s="26" t="s">
        <v>463</v>
      </c>
      <c r="E8" s="103" t="s">
        <v>808</v>
      </c>
      <c r="F8" s="104">
        <v>1</v>
      </c>
      <c r="G8" s="104">
        <v>1</v>
      </c>
      <c r="H8" s="104">
        <f>F8-G8</f>
        <v>0</v>
      </c>
      <c r="I8" s="104"/>
      <c r="J8" s="105"/>
      <c r="K8" s="105"/>
      <c r="L8" s="106"/>
      <c r="M8" s="102"/>
      <c r="N8" s="102"/>
      <c r="O8" s="102"/>
    </row>
    <row r="9" spans="1:15" ht="14.25" customHeight="1" x14ac:dyDescent="0.3">
      <c r="A9" s="102" t="s">
        <v>39</v>
      </c>
      <c r="B9" s="102" t="s">
        <v>807</v>
      </c>
      <c r="C9" s="6" t="s">
        <v>119</v>
      </c>
      <c r="D9" s="26" t="s">
        <v>464</v>
      </c>
      <c r="E9" s="103" t="s">
        <v>809</v>
      </c>
      <c r="F9" s="104">
        <v>1</v>
      </c>
      <c r="G9" s="104">
        <v>1</v>
      </c>
      <c r="H9" s="104">
        <f t="shared" ref="H9:H11" si="1">F9-G9</f>
        <v>0</v>
      </c>
      <c r="I9" s="104"/>
      <c r="J9" s="105"/>
      <c r="K9" s="105"/>
      <c r="L9" s="106"/>
      <c r="M9" s="102"/>
      <c r="N9" s="102"/>
      <c r="O9" s="102"/>
    </row>
    <row r="10" spans="1:15" ht="14.25" customHeight="1" x14ac:dyDescent="0.3">
      <c r="A10" s="102" t="s">
        <v>39</v>
      </c>
      <c r="B10" s="102" t="s">
        <v>807</v>
      </c>
      <c r="C10" s="6" t="s">
        <v>119</v>
      </c>
      <c r="D10" s="26" t="s">
        <v>465</v>
      </c>
      <c r="E10" s="103" t="s">
        <v>810</v>
      </c>
      <c r="F10" s="104">
        <v>1</v>
      </c>
      <c r="G10" s="104">
        <v>1</v>
      </c>
      <c r="H10" s="104">
        <f t="shared" si="1"/>
        <v>0</v>
      </c>
      <c r="I10" s="104"/>
      <c r="J10" s="105"/>
      <c r="K10" s="105"/>
      <c r="L10" s="106"/>
      <c r="M10" s="102"/>
      <c r="N10" s="102"/>
      <c r="O10" s="102"/>
    </row>
    <row r="11" spans="1:15" ht="14.25" customHeight="1" x14ac:dyDescent="0.3">
      <c r="A11" s="102" t="s">
        <v>39</v>
      </c>
      <c r="B11" s="102" t="s">
        <v>807</v>
      </c>
      <c r="C11" s="6" t="s">
        <v>119</v>
      </c>
      <c r="D11" s="26" t="s">
        <v>466</v>
      </c>
      <c r="E11" s="103" t="s">
        <v>811</v>
      </c>
      <c r="F11" s="104">
        <v>1</v>
      </c>
      <c r="G11" s="104">
        <v>1</v>
      </c>
      <c r="H11" s="104">
        <f t="shared" si="1"/>
        <v>0</v>
      </c>
      <c r="I11" s="104"/>
      <c r="J11" s="108"/>
      <c r="K11" s="108"/>
      <c r="L11" s="102"/>
      <c r="M11" s="102"/>
      <c r="N11" s="102"/>
      <c r="O11" s="102"/>
    </row>
    <row r="12" spans="1:15" s="114" customFormat="1" ht="14.25" customHeight="1" x14ac:dyDescent="0.3">
      <c r="A12" s="109" t="s">
        <v>39</v>
      </c>
      <c r="B12" s="109" t="s">
        <v>159</v>
      </c>
      <c r="C12" s="53" t="s">
        <v>120</v>
      </c>
      <c r="D12" s="26" t="s">
        <v>467</v>
      </c>
      <c r="E12" s="264" t="s">
        <v>812</v>
      </c>
      <c r="F12" s="111">
        <v>1</v>
      </c>
      <c r="G12" s="111">
        <v>1</v>
      </c>
      <c r="H12" s="111">
        <f>F12-G12</f>
        <v>0</v>
      </c>
      <c r="I12" s="112" t="s">
        <v>813</v>
      </c>
      <c r="J12" s="112" t="s">
        <v>814</v>
      </c>
      <c r="K12" s="112" t="s">
        <v>815</v>
      </c>
      <c r="L12" s="113" t="s">
        <v>816</v>
      </c>
      <c r="M12" s="113" t="s">
        <v>817</v>
      </c>
      <c r="N12" s="111">
        <v>1</v>
      </c>
      <c r="O12" s="109"/>
    </row>
    <row r="13" spans="1:15" s="114" customFormat="1" ht="14.25" customHeight="1" x14ac:dyDescent="0.3">
      <c r="A13" s="109" t="s">
        <v>39</v>
      </c>
      <c r="B13" s="109" t="s">
        <v>159</v>
      </c>
      <c r="C13" s="53" t="s">
        <v>120</v>
      </c>
      <c r="D13" s="26" t="s">
        <v>467</v>
      </c>
      <c r="E13" s="264"/>
      <c r="F13" s="111">
        <v>1</v>
      </c>
      <c r="G13" s="115">
        <v>0</v>
      </c>
      <c r="H13" s="115">
        <f t="shared" ref="H13:H26" si="2">F13-G13</f>
        <v>1</v>
      </c>
      <c r="I13" s="116"/>
      <c r="J13" s="116" t="s">
        <v>818</v>
      </c>
      <c r="K13" s="112"/>
      <c r="L13" s="113"/>
      <c r="M13" s="113"/>
      <c r="N13" s="111">
        <v>0</v>
      </c>
      <c r="O13" s="109" t="s">
        <v>819</v>
      </c>
    </row>
    <row r="14" spans="1:15" s="114" customFormat="1" ht="13.05" customHeight="1" x14ac:dyDescent="0.3">
      <c r="A14" s="109" t="s">
        <v>39</v>
      </c>
      <c r="B14" s="109" t="s">
        <v>159</v>
      </c>
      <c r="C14" s="53" t="s">
        <v>120</v>
      </c>
      <c r="D14" s="26" t="s">
        <v>468</v>
      </c>
      <c r="E14" s="265" t="s">
        <v>820</v>
      </c>
      <c r="F14" s="111">
        <v>1</v>
      </c>
      <c r="G14" s="111">
        <v>1</v>
      </c>
      <c r="H14" s="111">
        <f t="shared" si="2"/>
        <v>0</v>
      </c>
      <c r="I14" s="118"/>
      <c r="J14" s="118" t="s">
        <v>821</v>
      </c>
      <c r="K14" s="112"/>
      <c r="L14" s="113"/>
      <c r="M14" s="113"/>
      <c r="N14" s="111">
        <v>1</v>
      </c>
      <c r="O14" s="109"/>
    </row>
    <row r="15" spans="1:15" s="114" customFormat="1" ht="14.25" customHeight="1" x14ac:dyDescent="0.3">
      <c r="A15" s="109" t="s">
        <v>39</v>
      </c>
      <c r="B15" s="109" t="s">
        <v>159</v>
      </c>
      <c r="C15" s="53" t="s">
        <v>120</v>
      </c>
      <c r="D15" s="26" t="s">
        <v>468</v>
      </c>
      <c r="E15" s="265"/>
      <c r="F15" s="111">
        <v>1</v>
      </c>
      <c r="G15" s="111">
        <v>1</v>
      </c>
      <c r="H15" s="111">
        <f t="shared" si="2"/>
        <v>0</v>
      </c>
      <c r="I15" s="118"/>
      <c r="J15" s="118" t="s">
        <v>822</v>
      </c>
      <c r="K15" s="112"/>
      <c r="L15" s="113"/>
      <c r="M15" s="113"/>
      <c r="N15" s="111">
        <v>1</v>
      </c>
      <c r="O15" s="109"/>
    </row>
    <row r="16" spans="1:15" s="114" customFormat="1" ht="14.25" customHeight="1" x14ac:dyDescent="0.3">
      <c r="A16" s="109" t="s">
        <v>39</v>
      </c>
      <c r="B16" s="109" t="s">
        <v>42</v>
      </c>
      <c r="C16" s="53" t="s">
        <v>121</v>
      </c>
      <c r="D16" s="26" t="s">
        <v>469</v>
      </c>
      <c r="E16" s="110" t="s">
        <v>823</v>
      </c>
      <c r="F16" s="111">
        <v>1</v>
      </c>
      <c r="G16" s="111">
        <v>1</v>
      </c>
      <c r="H16" s="111">
        <f t="shared" si="2"/>
        <v>0</v>
      </c>
      <c r="I16" s="112" t="s">
        <v>824</v>
      </c>
      <c r="J16" s="112" t="s">
        <v>825</v>
      </c>
      <c r="K16" s="112" t="s">
        <v>826</v>
      </c>
      <c r="L16" s="113" t="s">
        <v>827</v>
      </c>
      <c r="M16" s="113" t="s">
        <v>828</v>
      </c>
      <c r="N16" s="111">
        <v>1</v>
      </c>
      <c r="O16" s="109"/>
    </row>
    <row r="17" spans="1:16" s="114" customFormat="1" ht="14.25" customHeight="1" x14ac:dyDescent="0.3">
      <c r="A17" s="109" t="s">
        <v>39</v>
      </c>
      <c r="B17" s="109" t="s">
        <v>42</v>
      </c>
      <c r="C17" s="53" t="s">
        <v>121</v>
      </c>
      <c r="D17" s="26" t="s">
        <v>470</v>
      </c>
      <c r="E17" s="117" t="s">
        <v>829</v>
      </c>
      <c r="F17" s="111">
        <v>1</v>
      </c>
      <c r="G17" s="111">
        <v>1</v>
      </c>
      <c r="H17" s="111">
        <f t="shared" si="2"/>
        <v>0</v>
      </c>
      <c r="I17" s="112" t="s">
        <v>830</v>
      </c>
      <c r="J17" s="109" t="s">
        <v>831</v>
      </c>
      <c r="K17" s="112" t="s">
        <v>832</v>
      </c>
      <c r="L17" s="113" t="s">
        <v>816</v>
      </c>
      <c r="M17" s="113" t="s">
        <v>833</v>
      </c>
      <c r="N17" s="111">
        <v>1</v>
      </c>
      <c r="O17" s="109"/>
    </row>
    <row r="18" spans="1:16" s="114" customFormat="1" ht="14.25" customHeight="1" x14ac:dyDescent="0.3">
      <c r="A18" s="109" t="s">
        <v>39</v>
      </c>
      <c r="B18" s="109" t="s">
        <v>43</v>
      </c>
      <c r="C18" s="53" t="s">
        <v>122</v>
      </c>
      <c r="D18" s="27" t="s">
        <v>471</v>
      </c>
      <c r="E18" s="119" t="s">
        <v>834</v>
      </c>
      <c r="F18" s="111">
        <v>1</v>
      </c>
      <c r="G18" s="111">
        <v>1</v>
      </c>
      <c r="H18" s="111">
        <f t="shared" si="2"/>
        <v>0</v>
      </c>
      <c r="I18" s="112" t="s">
        <v>835</v>
      </c>
      <c r="J18" s="120" t="s">
        <v>836</v>
      </c>
      <c r="K18" s="120" t="s">
        <v>837</v>
      </c>
      <c r="L18" s="113" t="s">
        <v>816</v>
      </c>
      <c r="M18" s="113" t="s">
        <v>838</v>
      </c>
      <c r="N18" s="111">
        <v>1</v>
      </c>
      <c r="O18" s="109"/>
    </row>
    <row r="19" spans="1:16" s="114" customFormat="1" ht="14.25" customHeight="1" x14ac:dyDescent="0.3">
      <c r="A19" s="109" t="s">
        <v>39</v>
      </c>
      <c r="B19" s="109" t="s">
        <v>43</v>
      </c>
      <c r="C19" s="53" t="s">
        <v>122</v>
      </c>
      <c r="D19" s="27" t="s">
        <v>472</v>
      </c>
      <c r="E19" s="266" t="s">
        <v>839</v>
      </c>
      <c r="F19" s="111">
        <v>1</v>
      </c>
      <c r="G19" s="111">
        <v>1</v>
      </c>
      <c r="H19" s="111">
        <f t="shared" si="2"/>
        <v>0</v>
      </c>
      <c r="I19" s="112" t="s">
        <v>840</v>
      </c>
      <c r="J19" s="120" t="s">
        <v>841</v>
      </c>
      <c r="K19" s="120" t="s">
        <v>842</v>
      </c>
      <c r="L19" s="113" t="s">
        <v>816</v>
      </c>
      <c r="M19" s="113" t="s">
        <v>843</v>
      </c>
      <c r="N19" s="111">
        <v>1</v>
      </c>
      <c r="O19" s="109"/>
    </row>
    <row r="20" spans="1:16" s="114" customFormat="1" ht="14.25" customHeight="1" x14ac:dyDescent="0.3">
      <c r="A20" s="109" t="s">
        <v>39</v>
      </c>
      <c r="B20" s="109" t="s">
        <v>43</v>
      </c>
      <c r="C20" s="53" t="s">
        <v>122</v>
      </c>
      <c r="D20" s="27" t="s">
        <v>472</v>
      </c>
      <c r="E20" s="266"/>
      <c r="F20" s="111">
        <v>1</v>
      </c>
      <c r="G20" s="111">
        <v>1</v>
      </c>
      <c r="H20" s="111">
        <f t="shared" si="2"/>
        <v>0</v>
      </c>
      <c r="I20" s="112" t="s">
        <v>844</v>
      </c>
      <c r="J20" s="120" t="s">
        <v>845</v>
      </c>
      <c r="K20" s="120" t="s">
        <v>846</v>
      </c>
      <c r="L20" s="113" t="s">
        <v>816</v>
      </c>
      <c r="M20" s="113" t="s">
        <v>847</v>
      </c>
      <c r="N20" s="111">
        <v>1</v>
      </c>
      <c r="O20" s="109"/>
    </row>
    <row r="21" spans="1:16" s="114" customFormat="1" ht="14.25" customHeight="1" x14ac:dyDescent="0.3">
      <c r="A21" s="109" t="s">
        <v>39</v>
      </c>
      <c r="B21" s="109" t="s">
        <v>44</v>
      </c>
      <c r="C21" s="53" t="s">
        <v>123</v>
      </c>
      <c r="D21" s="27" t="s">
        <v>473</v>
      </c>
      <c r="E21" s="119" t="s">
        <v>848</v>
      </c>
      <c r="F21" s="111">
        <v>1</v>
      </c>
      <c r="G21" s="115">
        <v>0</v>
      </c>
      <c r="H21" s="115">
        <f t="shared" si="2"/>
        <v>1</v>
      </c>
      <c r="I21" s="116"/>
      <c r="J21" s="116" t="s">
        <v>818</v>
      </c>
      <c r="K21" s="109"/>
      <c r="L21" s="113"/>
      <c r="M21" s="121" t="s">
        <v>849</v>
      </c>
      <c r="N21" s="122">
        <v>0</v>
      </c>
      <c r="O21" s="109"/>
    </row>
    <row r="22" spans="1:16" s="114" customFormat="1" ht="14.25" customHeight="1" x14ac:dyDescent="0.3">
      <c r="A22" s="109" t="s">
        <v>39</v>
      </c>
      <c r="B22" s="109" t="s">
        <v>44</v>
      </c>
      <c r="C22" s="53" t="s">
        <v>123</v>
      </c>
      <c r="D22" s="27" t="s">
        <v>474</v>
      </c>
      <c r="E22" s="117" t="s">
        <v>850</v>
      </c>
      <c r="F22" s="111">
        <v>1</v>
      </c>
      <c r="G22" s="115">
        <v>0</v>
      </c>
      <c r="H22" s="115">
        <f t="shared" si="2"/>
        <v>1</v>
      </c>
      <c r="I22" s="116"/>
      <c r="J22" s="116" t="s">
        <v>818</v>
      </c>
      <c r="K22" s="109"/>
      <c r="L22" s="113"/>
      <c r="M22" s="121" t="s">
        <v>849</v>
      </c>
      <c r="N22" s="122">
        <v>0</v>
      </c>
      <c r="O22" s="109"/>
    </row>
    <row r="23" spans="1:16" s="114" customFormat="1" ht="14.25" customHeight="1" x14ac:dyDescent="0.3">
      <c r="A23" s="109" t="s">
        <v>39</v>
      </c>
      <c r="B23" s="109" t="s">
        <v>45</v>
      </c>
      <c r="C23" s="53" t="s">
        <v>124</v>
      </c>
      <c r="D23" s="27" t="s">
        <v>475</v>
      </c>
      <c r="E23" s="119" t="s">
        <v>851</v>
      </c>
      <c r="F23" s="111">
        <v>1</v>
      </c>
      <c r="G23" s="111">
        <v>1</v>
      </c>
      <c r="H23" s="111">
        <f t="shared" si="2"/>
        <v>0</v>
      </c>
      <c r="I23" s="112" t="s">
        <v>852</v>
      </c>
      <c r="J23" s="112" t="s">
        <v>853</v>
      </c>
      <c r="K23" s="109" t="s">
        <v>854</v>
      </c>
      <c r="L23" s="113" t="s">
        <v>816</v>
      </c>
      <c r="M23" s="113" t="s">
        <v>855</v>
      </c>
      <c r="N23" s="111">
        <v>1</v>
      </c>
      <c r="O23" s="109"/>
    </row>
    <row r="24" spans="1:16" s="114" customFormat="1" ht="14.25" customHeight="1" x14ac:dyDescent="0.3">
      <c r="A24" s="109" t="s">
        <v>39</v>
      </c>
      <c r="B24" s="109" t="s">
        <v>45</v>
      </c>
      <c r="C24" s="53" t="s">
        <v>124</v>
      </c>
      <c r="D24" s="27" t="s">
        <v>476</v>
      </c>
      <c r="E24" s="117" t="s">
        <v>856</v>
      </c>
      <c r="F24" s="111">
        <v>1</v>
      </c>
      <c r="G24" s="115">
        <v>0</v>
      </c>
      <c r="H24" s="115">
        <f t="shared" si="2"/>
        <v>1</v>
      </c>
      <c r="I24" s="116"/>
      <c r="J24" s="116" t="s">
        <v>818</v>
      </c>
      <c r="K24" s="109"/>
      <c r="L24" s="113"/>
      <c r="M24" s="121" t="s">
        <v>849</v>
      </c>
      <c r="N24" s="122">
        <v>0</v>
      </c>
      <c r="O24" s="109"/>
    </row>
    <row r="25" spans="1:16" s="114" customFormat="1" ht="14.25" customHeight="1" x14ac:dyDescent="0.3">
      <c r="A25" s="109" t="s">
        <v>39</v>
      </c>
      <c r="B25" s="109" t="s">
        <v>46</v>
      </c>
      <c r="C25" s="53" t="s">
        <v>125</v>
      </c>
      <c r="D25" s="28" t="s">
        <v>477</v>
      </c>
      <c r="E25" s="123" t="s">
        <v>857</v>
      </c>
      <c r="F25" s="111">
        <v>1</v>
      </c>
      <c r="G25" s="111">
        <v>1</v>
      </c>
      <c r="H25" s="111">
        <f t="shared" si="2"/>
        <v>0</v>
      </c>
      <c r="I25" s="112" t="s">
        <v>858</v>
      </c>
      <c r="J25" s="120" t="s">
        <v>859</v>
      </c>
      <c r="K25" s="124" t="s">
        <v>860</v>
      </c>
      <c r="L25" s="113" t="s">
        <v>827</v>
      </c>
      <c r="M25" s="113" t="s">
        <v>861</v>
      </c>
      <c r="N25" s="111">
        <v>1</v>
      </c>
      <c r="O25" s="109"/>
    </row>
    <row r="26" spans="1:16" s="114" customFormat="1" ht="14.25" customHeight="1" x14ac:dyDescent="0.3">
      <c r="A26" s="109" t="s">
        <v>39</v>
      </c>
      <c r="B26" s="109" t="s">
        <v>46</v>
      </c>
      <c r="C26" s="53" t="s">
        <v>125</v>
      </c>
      <c r="D26" s="28" t="s">
        <v>478</v>
      </c>
      <c r="E26" s="117" t="s">
        <v>862</v>
      </c>
      <c r="F26" s="111">
        <v>1</v>
      </c>
      <c r="G26" s="111">
        <v>1</v>
      </c>
      <c r="H26" s="111">
        <f t="shared" si="2"/>
        <v>0</v>
      </c>
      <c r="I26" s="112" t="s">
        <v>863</v>
      </c>
      <c r="J26" s="112" t="s">
        <v>864</v>
      </c>
      <c r="K26" s="109" t="s">
        <v>865</v>
      </c>
      <c r="L26" s="113" t="s">
        <v>816</v>
      </c>
      <c r="M26" s="113" t="s">
        <v>866</v>
      </c>
      <c r="N26" s="111">
        <v>1</v>
      </c>
      <c r="O26" s="109"/>
    </row>
    <row r="27" spans="1:16" s="128" customFormat="1" ht="14.25" customHeight="1" x14ac:dyDescent="0.3">
      <c r="A27" s="125" t="s">
        <v>39</v>
      </c>
      <c r="B27" s="125" t="s">
        <v>47</v>
      </c>
      <c r="C27" s="6" t="s">
        <v>126</v>
      </c>
      <c r="D27" s="26" t="s">
        <v>479</v>
      </c>
      <c r="E27" s="126" t="s">
        <v>867</v>
      </c>
      <c r="F27" s="104">
        <v>1</v>
      </c>
      <c r="G27" s="104">
        <v>1</v>
      </c>
      <c r="H27" s="104">
        <f>F27-G27</f>
        <v>0</v>
      </c>
      <c r="I27" s="112" t="s">
        <v>868</v>
      </c>
      <c r="J27" s="125" t="s">
        <v>869</v>
      </c>
      <c r="K27" s="125" t="s">
        <v>870</v>
      </c>
      <c r="L27" s="125" t="s">
        <v>816</v>
      </c>
      <c r="M27" s="125" t="s">
        <v>847</v>
      </c>
      <c r="N27" s="104">
        <v>1</v>
      </c>
      <c r="O27" s="104"/>
      <c r="P27" s="127"/>
    </row>
    <row r="28" spans="1:16" s="128" customFormat="1" ht="14.25" customHeight="1" x14ac:dyDescent="0.3">
      <c r="A28" s="125" t="s">
        <v>39</v>
      </c>
      <c r="B28" s="125" t="s">
        <v>47</v>
      </c>
      <c r="C28" s="6" t="s">
        <v>126</v>
      </c>
      <c r="D28" s="26" t="s">
        <v>480</v>
      </c>
      <c r="E28" s="126" t="s">
        <v>871</v>
      </c>
      <c r="F28" s="104">
        <v>1</v>
      </c>
      <c r="G28" s="104">
        <v>1</v>
      </c>
      <c r="H28" s="104">
        <f>F28-G28</f>
        <v>0</v>
      </c>
      <c r="I28" s="112" t="s">
        <v>872</v>
      </c>
      <c r="J28" s="125" t="s">
        <v>873</v>
      </c>
      <c r="K28" s="125" t="s">
        <v>874</v>
      </c>
      <c r="L28" s="125" t="s">
        <v>816</v>
      </c>
      <c r="M28" s="125" t="s">
        <v>875</v>
      </c>
      <c r="N28" s="104">
        <v>1</v>
      </c>
      <c r="O28" s="104"/>
      <c r="P28" s="127"/>
    </row>
    <row r="29" spans="1:16" s="128" customFormat="1" ht="14.25" customHeight="1" x14ac:dyDescent="0.3">
      <c r="A29" s="125" t="s">
        <v>39</v>
      </c>
      <c r="B29" s="125" t="s">
        <v>48</v>
      </c>
      <c r="C29" s="6" t="s">
        <v>127</v>
      </c>
      <c r="D29" s="26" t="s">
        <v>481</v>
      </c>
      <c r="E29" s="267" t="s">
        <v>876</v>
      </c>
      <c r="F29" s="129">
        <v>1</v>
      </c>
      <c r="G29" s="129">
        <v>0</v>
      </c>
      <c r="H29" s="129">
        <f>F29-G29</f>
        <v>1</v>
      </c>
      <c r="I29" s="130"/>
      <c r="J29" s="130" t="s">
        <v>27</v>
      </c>
      <c r="K29" s="125"/>
      <c r="L29" s="125"/>
      <c r="M29" s="125"/>
      <c r="N29" s="104">
        <v>0</v>
      </c>
      <c r="O29" s="104"/>
      <c r="P29" s="127"/>
    </row>
    <row r="30" spans="1:16" s="128" customFormat="1" ht="14.25" customHeight="1" x14ac:dyDescent="0.3">
      <c r="A30" s="125" t="s">
        <v>39</v>
      </c>
      <c r="B30" s="125" t="s">
        <v>48</v>
      </c>
      <c r="C30" s="127" t="str">
        <f>C29</f>
        <v>CNI.MES.MC.02</v>
      </c>
      <c r="D30" s="127" t="s">
        <v>481</v>
      </c>
      <c r="E30" s="268"/>
      <c r="F30" s="129">
        <v>1</v>
      </c>
      <c r="G30" s="129">
        <v>0</v>
      </c>
      <c r="H30" s="129">
        <f t="shared" ref="H30:H32" si="3">F30-G30</f>
        <v>1</v>
      </c>
      <c r="I30" s="130"/>
      <c r="J30" s="130" t="s">
        <v>27</v>
      </c>
      <c r="K30" s="125"/>
      <c r="L30" s="125"/>
      <c r="M30" s="125"/>
      <c r="N30" s="104">
        <v>0</v>
      </c>
      <c r="O30" s="104"/>
      <c r="P30" s="127"/>
    </row>
    <row r="31" spans="1:16" s="128" customFormat="1" ht="14.25" customHeight="1" x14ac:dyDescent="0.3">
      <c r="A31" s="125" t="s">
        <v>39</v>
      </c>
      <c r="B31" s="125" t="s">
        <v>48</v>
      </c>
      <c r="C31" s="6" t="s">
        <v>127</v>
      </c>
      <c r="D31" s="26" t="s">
        <v>482</v>
      </c>
      <c r="E31" s="267" t="s">
        <v>877</v>
      </c>
      <c r="F31" s="129">
        <v>1</v>
      </c>
      <c r="G31" s="129">
        <v>0</v>
      </c>
      <c r="H31" s="129">
        <f t="shared" si="3"/>
        <v>1</v>
      </c>
      <c r="I31" s="130"/>
      <c r="J31" s="130" t="s">
        <v>27</v>
      </c>
      <c r="K31" s="125"/>
      <c r="L31" s="125"/>
      <c r="M31" s="125"/>
      <c r="N31" s="104">
        <v>0</v>
      </c>
      <c r="O31" s="104"/>
      <c r="P31" s="127"/>
    </row>
    <row r="32" spans="1:16" s="128" customFormat="1" ht="14.25" customHeight="1" x14ac:dyDescent="0.3">
      <c r="A32" s="125" t="s">
        <v>39</v>
      </c>
      <c r="B32" s="125" t="s">
        <v>48</v>
      </c>
      <c r="C32" s="127" t="str">
        <f>C31</f>
        <v>CNI.MES.MC.02</v>
      </c>
      <c r="D32" s="127" t="s">
        <v>482</v>
      </c>
      <c r="E32" s="268"/>
      <c r="F32" s="104">
        <v>1</v>
      </c>
      <c r="G32" s="104">
        <v>1</v>
      </c>
      <c r="H32" s="104">
        <f t="shared" si="3"/>
        <v>0</v>
      </c>
      <c r="I32" s="112" t="s">
        <v>878</v>
      </c>
      <c r="J32" s="125" t="s">
        <v>879</v>
      </c>
      <c r="K32" s="125" t="s">
        <v>880</v>
      </c>
      <c r="L32" s="125" t="s">
        <v>49</v>
      </c>
      <c r="M32" s="125" t="s">
        <v>843</v>
      </c>
      <c r="N32" s="104">
        <v>1</v>
      </c>
      <c r="O32" s="104"/>
      <c r="P32" s="127"/>
    </row>
    <row r="33" spans="1:16" s="128" customFormat="1" ht="14.25" customHeight="1" x14ac:dyDescent="0.3">
      <c r="A33" s="125" t="s">
        <v>39</v>
      </c>
      <c r="B33" s="125" t="s">
        <v>50</v>
      </c>
      <c r="C33" s="6" t="s">
        <v>128</v>
      </c>
      <c r="D33" s="27" t="s">
        <v>483</v>
      </c>
      <c r="E33" s="258" t="s">
        <v>881</v>
      </c>
      <c r="F33" s="131">
        <v>1</v>
      </c>
      <c r="G33" s="131">
        <v>0</v>
      </c>
      <c r="H33" s="131">
        <f>F33-G33</f>
        <v>1</v>
      </c>
      <c r="I33" s="130"/>
      <c r="J33" s="130" t="s">
        <v>27</v>
      </c>
      <c r="K33" s="125"/>
      <c r="L33" s="125"/>
      <c r="M33" s="125"/>
      <c r="N33" s="104">
        <v>0</v>
      </c>
      <c r="O33" s="104"/>
      <c r="P33" s="127"/>
    </row>
    <row r="34" spans="1:16" s="128" customFormat="1" ht="14.25" customHeight="1" x14ac:dyDescent="0.3">
      <c r="A34" s="125" t="s">
        <v>39</v>
      </c>
      <c r="B34" s="125" t="s">
        <v>50</v>
      </c>
      <c r="C34" s="127" t="str">
        <f>C33</f>
        <v>CNI.MES.MC.03</v>
      </c>
      <c r="D34" s="127" t="s">
        <v>483</v>
      </c>
      <c r="E34" s="259"/>
      <c r="F34" s="131">
        <v>1</v>
      </c>
      <c r="G34" s="131">
        <v>0</v>
      </c>
      <c r="H34" s="131">
        <f>F34-G34</f>
        <v>1</v>
      </c>
      <c r="I34" s="130"/>
      <c r="J34" s="130" t="s">
        <v>27</v>
      </c>
      <c r="K34" s="125"/>
      <c r="L34" s="125"/>
      <c r="M34" s="125"/>
      <c r="N34" s="104">
        <v>0</v>
      </c>
      <c r="O34" s="104"/>
      <c r="P34" s="127"/>
    </row>
    <row r="35" spans="1:16" s="128" customFormat="1" ht="14.25" customHeight="1" x14ac:dyDescent="0.3">
      <c r="A35" s="125" t="s">
        <v>39</v>
      </c>
      <c r="B35" s="125" t="s">
        <v>50</v>
      </c>
      <c r="C35" s="6" t="s">
        <v>128</v>
      </c>
      <c r="D35" s="27" t="s">
        <v>484</v>
      </c>
      <c r="E35" s="258" t="s">
        <v>882</v>
      </c>
      <c r="F35" s="131">
        <v>1</v>
      </c>
      <c r="G35" s="131">
        <v>0</v>
      </c>
      <c r="H35" s="131">
        <f>F35-G35</f>
        <v>1</v>
      </c>
      <c r="I35" s="130"/>
      <c r="J35" s="130" t="s">
        <v>27</v>
      </c>
      <c r="K35" s="125"/>
      <c r="L35" s="125"/>
      <c r="M35" s="125"/>
      <c r="N35" s="104">
        <v>0</v>
      </c>
      <c r="O35" s="104"/>
      <c r="P35" s="127"/>
    </row>
    <row r="36" spans="1:16" s="128" customFormat="1" ht="14.25" customHeight="1" x14ac:dyDescent="0.3">
      <c r="A36" s="125" t="s">
        <v>39</v>
      </c>
      <c r="B36" s="125" t="s">
        <v>50</v>
      </c>
      <c r="C36" s="127" t="str">
        <f>C35</f>
        <v>CNI.MES.MC.03</v>
      </c>
      <c r="D36" s="127" t="s">
        <v>484</v>
      </c>
      <c r="E36" s="259"/>
      <c r="F36" s="131">
        <v>1</v>
      </c>
      <c r="G36" s="131">
        <v>0</v>
      </c>
      <c r="H36" s="131">
        <f>F36-G36</f>
        <v>1</v>
      </c>
      <c r="I36" s="130"/>
      <c r="J36" s="130" t="s">
        <v>27</v>
      </c>
      <c r="K36" s="125"/>
      <c r="L36" s="125"/>
      <c r="M36" s="125"/>
      <c r="N36" s="104">
        <v>0</v>
      </c>
      <c r="O36" s="125"/>
      <c r="P36" s="127"/>
    </row>
    <row r="37" spans="1:16" s="128" customFormat="1" ht="14.25" customHeight="1" x14ac:dyDescent="0.3">
      <c r="A37" s="125" t="s">
        <v>39</v>
      </c>
      <c r="B37" s="125" t="s">
        <v>51</v>
      </c>
      <c r="C37" s="6" t="s">
        <v>129</v>
      </c>
      <c r="D37" s="27" t="s">
        <v>485</v>
      </c>
      <c r="E37" s="132" t="s">
        <v>883</v>
      </c>
      <c r="F37" s="104">
        <v>1</v>
      </c>
      <c r="G37" s="104">
        <v>1</v>
      </c>
      <c r="H37" s="132">
        <f t="shared" ref="H37:H62" si="4">F37-G37</f>
        <v>0</v>
      </c>
      <c r="I37" s="112" t="s">
        <v>884</v>
      </c>
      <c r="J37" s="125" t="s">
        <v>885</v>
      </c>
      <c r="K37" s="125" t="s">
        <v>886</v>
      </c>
      <c r="L37" s="125" t="s">
        <v>827</v>
      </c>
      <c r="M37" s="125" t="s">
        <v>887</v>
      </c>
      <c r="N37" s="104">
        <v>1</v>
      </c>
      <c r="O37" s="125"/>
      <c r="P37" s="127"/>
    </row>
    <row r="38" spans="1:16" s="128" customFormat="1" ht="14.25" customHeight="1" x14ac:dyDescent="0.3">
      <c r="A38" s="125" t="s">
        <v>39</v>
      </c>
      <c r="B38" s="125" t="s">
        <v>51</v>
      </c>
      <c r="C38" s="6" t="s">
        <v>129</v>
      </c>
      <c r="D38" s="59" t="s">
        <v>486</v>
      </c>
      <c r="E38" s="260" t="s">
        <v>888</v>
      </c>
      <c r="F38" s="104">
        <v>1</v>
      </c>
      <c r="G38" s="104">
        <v>1</v>
      </c>
      <c r="H38" s="132">
        <f t="shared" si="4"/>
        <v>0</v>
      </c>
      <c r="I38" s="112" t="s">
        <v>889</v>
      </c>
      <c r="J38" s="125" t="s">
        <v>890</v>
      </c>
      <c r="K38" s="125" t="s">
        <v>891</v>
      </c>
      <c r="L38" s="125" t="s">
        <v>52</v>
      </c>
      <c r="M38" s="125" t="s">
        <v>875</v>
      </c>
      <c r="N38" s="104">
        <v>1</v>
      </c>
      <c r="O38" s="125"/>
      <c r="P38" s="127"/>
    </row>
    <row r="39" spans="1:16" s="128" customFormat="1" ht="14.25" customHeight="1" x14ac:dyDescent="0.3">
      <c r="A39" s="125" t="s">
        <v>39</v>
      </c>
      <c r="B39" s="125" t="s">
        <v>51</v>
      </c>
      <c r="C39" s="127" t="str">
        <f>C38</f>
        <v>CNI.MES.MC.04</v>
      </c>
      <c r="D39" s="127" t="s">
        <v>486</v>
      </c>
      <c r="E39" s="261"/>
      <c r="F39" s="104">
        <v>1</v>
      </c>
      <c r="G39" s="104">
        <v>1</v>
      </c>
      <c r="H39" s="132">
        <f t="shared" si="4"/>
        <v>0</v>
      </c>
      <c r="I39" s="112" t="s">
        <v>892</v>
      </c>
      <c r="J39" s="125" t="s">
        <v>893</v>
      </c>
      <c r="K39" s="125" t="s">
        <v>894</v>
      </c>
      <c r="L39" s="125" t="s">
        <v>816</v>
      </c>
      <c r="M39" s="125" t="s">
        <v>895</v>
      </c>
      <c r="N39" s="104">
        <v>1</v>
      </c>
      <c r="O39" s="125"/>
      <c r="P39" s="127"/>
    </row>
    <row r="40" spans="1:16" s="128" customFormat="1" ht="13.95" customHeight="1" x14ac:dyDescent="0.3">
      <c r="A40" s="125" t="s">
        <v>39</v>
      </c>
      <c r="B40" s="125" t="s">
        <v>53</v>
      </c>
      <c r="C40" s="6" t="s">
        <v>130</v>
      </c>
      <c r="D40" s="27" t="s">
        <v>487</v>
      </c>
      <c r="E40" s="258" t="s">
        <v>896</v>
      </c>
      <c r="F40" s="104">
        <v>1</v>
      </c>
      <c r="G40" s="104">
        <v>1</v>
      </c>
      <c r="H40" s="132">
        <f t="shared" si="4"/>
        <v>0</v>
      </c>
      <c r="I40" s="112" t="s">
        <v>790</v>
      </c>
      <c r="J40" s="133" t="s">
        <v>21</v>
      </c>
      <c r="K40" s="133" t="s">
        <v>897</v>
      </c>
      <c r="L40" s="133" t="s">
        <v>816</v>
      </c>
      <c r="M40" s="125" t="s">
        <v>898</v>
      </c>
      <c r="N40" s="104">
        <v>1</v>
      </c>
      <c r="O40" s="125"/>
      <c r="P40" s="127"/>
    </row>
    <row r="41" spans="1:16" s="128" customFormat="1" ht="14.25" customHeight="1" x14ac:dyDescent="0.3">
      <c r="A41" s="125" t="s">
        <v>39</v>
      </c>
      <c r="B41" s="125" t="s">
        <v>53</v>
      </c>
      <c r="C41" s="127" t="str">
        <f>C40</f>
        <v>CNI.MES.MC.05</v>
      </c>
      <c r="D41" s="127" t="s">
        <v>487</v>
      </c>
      <c r="E41" s="259"/>
      <c r="F41" s="104">
        <v>1</v>
      </c>
      <c r="G41" s="104">
        <v>1</v>
      </c>
      <c r="H41" s="132">
        <f t="shared" si="4"/>
        <v>0</v>
      </c>
      <c r="I41" s="112" t="s">
        <v>899</v>
      </c>
      <c r="J41" s="133" t="s">
        <v>900</v>
      </c>
      <c r="K41" s="133" t="s">
        <v>901</v>
      </c>
      <c r="L41" s="133" t="s">
        <v>52</v>
      </c>
      <c r="M41" s="125" t="s">
        <v>902</v>
      </c>
      <c r="N41" s="104">
        <v>1</v>
      </c>
      <c r="O41" s="125"/>
      <c r="P41" s="127"/>
    </row>
    <row r="42" spans="1:16" s="128" customFormat="1" ht="14.25" customHeight="1" x14ac:dyDescent="0.3">
      <c r="A42" s="125" t="s">
        <v>39</v>
      </c>
      <c r="B42" s="125" t="s">
        <v>53</v>
      </c>
      <c r="C42" s="6" t="s">
        <v>130</v>
      </c>
      <c r="D42" s="27" t="s">
        <v>488</v>
      </c>
      <c r="E42" s="258" t="s">
        <v>903</v>
      </c>
      <c r="F42" s="104">
        <v>1</v>
      </c>
      <c r="G42" s="104">
        <v>1</v>
      </c>
      <c r="H42" s="132">
        <f t="shared" si="4"/>
        <v>0</v>
      </c>
      <c r="I42" s="112" t="s">
        <v>904</v>
      </c>
      <c r="J42" s="133" t="s">
        <v>905</v>
      </c>
      <c r="K42" s="133" t="s">
        <v>906</v>
      </c>
      <c r="L42" s="133" t="s">
        <v>52</v>
      </c>
      <c r="M42" s="125" t="s">
        <v>866</v>
      </c>
      <c r="N42" s="104">
        <v>1</v>
      </c>
      <c r="O42" s="125"/>
      <c r="P42" s="127"/>
    </row>
    <row r="43" spans="1:16" s="128" customFormat="1" ht="14.55" customHeight="1" x14ac:dyDescent="0.3">
      <c r="A43" s="125" t="s">
        <v>39</v>
      </c>
      <c r="B43" s="125" t="s">
        <v>53</v>
      </c>
      <c r="C43" s="127" t="str">
        <f>C42</f>
        <v>CNI.MES.MC.05</v>
      </c>
      <c r="D43" s="127" t="s">
        <v>488</v>
      </c>
      <c r="E43" s="259"/>
      <c r="F43" s="104">
        <v>1</v>
      </c>
      <c r="G43" s="104">
        <v>1</v>
      </c>
      <c r="H43" s="132">
        <f t="shared" si="4"/>
        <v>0</v>
      </c>
      <c r="I43" s="134"/>
      <c r="J43" s="134" t="s">
        <v>907</v>
      </c>
      <c r="K43" s="125"/>
      <c r="L43" s="125"/>
      <c r="M43" s="125"/>
      <c r="N43" s="104">
        <v>1</v>
      </c>
      <c r="O43" s="125"/>
      <c r="P43" s="127"/>
    </row>
    <row r="44" spans="1:16" s="128" customFormat="1" ht="14.25" customHeight="1" x14ac:dyDescent="0.3">
      <c r="A44" s="125" t="s">
        <v>39</v>
      </c>
      <c r="B44" s="125" t="s">
        <v>54</v>
      </c>
      <c r="C44" s="6" t="s">
        <v>131</v>
      </c>
      <c r="D44" s="27" t="s">
        <v>489</v>
      </c>
      <c r="E44" s="258" t="s">
        <v>908</v>
      </c>
      <c r="F44" s="104">
        <v>1</v>
      </c>
      <c r="G44" s="104">
        <v>1</v>
      </c>
      <c r="H44" s="132">
        <f t="shared" si="4"/>
        <v>0</v>
      </c>
      <c r="I44" s="135"/>
      <c r="J44" s="135" t="s">
        <v>909</v>
      </c>
      <c r="K44" s="136"/>
      <c r="L44" s="136"/>
      <c r="M44" s="125"/>
      <c r="N44" s="104">
        <v>1</v>
      </c>
      <c r="O44" s="125"/>
      <c r="P44" s="127"/>
    </row>
    <row r="45" spans="1:16" s="128" customFormat="1" ht="14.25" customHeight="1" x14ac:dyDescent="0.3">
      <c r="A45" s="125" t="s">
        <v>39</v>
      </c>
      <c r="B45" s="125" t="s">
        <v>54</v>
      </c>
      <c r="C45" s="127" t="str">
        <f>C44</f>
        <v>CNI.MES.MC.06</v>
      </c>
      <c r="D45" s="127" t="s">
        <v>489</v>
      </c>
      <c r="E45" s="259"/>
      <c r="F45" s="104">
        <v>1</v>
      </c>
      <c r="G45" s="104">
        <v>1</v>
      </c>
      <c r="H45" s="132">
        <f t="shared" si="4"/>
        <v>0</v>
      </c>
      <c r="I45" s="135"/>
      <c r="J45" s="135" t="s">
        <v>910</v>
      </c>
      <c r="K45" s="136"/>
      <c r="L45" s="136"/>
      <c r="M45" s="125"/>
      <c r="N45" s="104">
        <v>1</v>
      </c>
      <c r="O45" s="125"/>
      <c r="P45" s="127"/>
    </row>
    <row r="46" spans="1:16" s="128" customFormat="1" ht="14.25" customHeight="1" x14ac:dyDescent="0.3">
      <c r="A46" s="125" t="s">
        <v>39</v>
      </c>
      <c r="B46" s="125" t="s">
        <v>54</v>
      </c>
      <c r="C46" s="6" t="s">
        <v>131</v>
      </c>
      <c r="D46" s="27" t="s">
        <v>490</v>
      </c>
      <c r="E46" s="258" t="s">
        <v>911</v>
      </c>
      <c r="F46" s="104">
        <v>1</v>
      </c>
      <c r="G46" s="104">
        <v>1</v>
      </c>
      <c r="H46" s="132">
        <f t="shared" si="4"/>
        <v>0</v>
      </c>
      <c r="I46" s="135"/>
      <c r="J46" s="135" t="s">
        <v>912</v>
      </c>
      <c r="K46" s="136"/>
      <c r="L46" s="136"/>
      <c r="M46" s="125"/>
      <c r="N46" s="104">
        <v>1</v>
      </c>
      <c r="O46" s="125"/>
      <c r="P46" s="127"/>
    </row>
    <row r="47" spans="1:16" s="128" customFormat="1" ht="14.25" customHeight="1" x14ac:dyDescent="0.3">
      <c r="A47" s="125" t="s">
        <v>39</v>
      </c>
      <c r="B47" s="125" t="s">
        <v>54</v>
      </c>
      <c r="C47" s="127" t="str">
        <f>C46</f>
        <v>CNI.MES.MC.06</v>
      </c>
      <c r="D47" s="127" t="s">
        <v>490</v>
      </c>
      <c r="E47" s="259"/>
      <c r="F47" s="104">
        <v>1</v>
      </c>
      <c r="G47" s="129">
        <v>0</v>
      </c>
      <c r="H47" s="131">
        <f t="shared" si="4"/>
        <v>1</v>
      </c>
      <c r="I47" s="137"/>
      <c r="J47" s="137" t="s">
        <v>27</v>
      </c>
      <c r="K47" s="136"/>
      <c r="L47" s="136"/>
      <c r="M47" s="125"/>
      <c r="N47" s="104">
        <v>0</v>
      </c>
      <c r="O47" s="125"/>
      <c r="P47" s="127"/>
    </row>
    <row r="48" spans="1:16" s="128" customFormat="1" ht="14.25" customHeight="1" x14ac:dyDescent="0.3">
      <c r="A48" s="125" t="s">
        <v>39</v>
      </c>
      <c r="B48" s="125" t="s">
        <v>55</v>
      </c>
      <c r="C48" s="6" t="s">
        <v>132</v>
      </c>
      <c r="D48" s="27" t="s">
        <v>491</v>
      </c>
      <c r="E48" s="138" t="s">
        <v>913</v>
      </c>
      <c r="F48" s="104">
        <v>1</v>
      </c>
      <c r="G48" s="104">
        <v>1</v>
      </c>
      <c r="H48" s="132">
        <f t="shared" si="4"/>
        <v>0</v>
      </c>
      <c r="I48" s="112" t="s">
        <v>914</v>
      </c>
      <c r="J48" s="139" t="s">
        <v>915</v>
      </c>
      <c r="K48" s="125" t="s">
        <v>916</v>
      </c>
      <c r="L48" s="125" t="s">
        <v>827</v>
      </c>
      <c r="M48" s="125" t="s">
        <v>902</v>
      </c>
      <c r="N48" s="104">
        <v>1</v>
      </c>
      <c r="O48" s="125"/>
      <c r="P48" s="127"/>
    </row>
    <row r="49" spans="1:16" s="128" customFormat="1" ht="14.25" customHeight="1" x14ac:dyDescent="0.3">
      <c r="A49" s="125" t="s">
        <v>39</v>
      </c>
      <c r="B49" s="125" t="s">
        <v>55</v>
      </c>
      <c r="C49" s="6" t="s">
        <v>132</v>
      </c>
      <c r="D49" s="27" t="s">
        <v>492</v>
      </c>
      <c r="E49" s="262" t="s">
        <v>917</v>
      </c>
      <c r="F49" s="104">
        <v>1</v>
      </c>
      <c r="G49" s="104">
        <v>1</v>
      </c>
      <c r="H49" s="132">
        <f t="shared" si="4"/>
        <v>0</v>
      </c>
      <c r="I49" s="112" t="s">
        <v>918</v>
      </c>
      <c r="J49" s="139" t="s">
        <v>919</v>
      </c>
      <c r="K49" s="125" t="s">
        <v>920</v>
      </c>
      <c r="L49" s="125" t="s">
        <v>52</v>
      </c>
      <c r="M49" s="125" t="s">
        <v>56</v>
      </c>
      <c r="N49" s="104">
        <v>1</v>
      </c>
      <c r="O49" s="125"/>
      <c r="P49" s="127"/>
    </row>
    <row r="50" spans="1:16" s="128" customFormat="1" ht="14.25" customHeight="1" x14ac:dyDescent="0.3">
      <c r="A50" s="125" t="s">
        <v>39</v>
      </c>
      <c r="B50" s="125" t="s">
        <v>55</v>
      </c>
      <c r="C50" s="127" t="str">
        <f>C49</f>
        <v>CNI.MES.MC.07</v>
      </c>
      <c r="D50" s="127" t="s">
        <v>492</v>
      </c>
      <c r="E50" s="263"/>
      <c r="F50" s="104">
        <v>1</v>
      </c>
      <c r="G50" s="129">
        <v>0</v>
      </c>
      <c r="H50" s="131">
        <f t="shared" si="4"/>
        <v>1</v>
      </c>
      <c r="I50" s="140"/>
      <c r="J50" s="140" t="s">
        <v>27</v>
      </c>
      <c r="K50" s="125"/>
      <c r="L50" s="125"/>
      <c r="M50" s="125" t="s">
        <v>921</v>
      </c>
      <c r="N50" s="104">
        <v>0</v>
      </c>
      <c r="O50" s="125"/>
      <c r="P50" s="127"/>
    </row>
    <row r="51" spans="1:16" s="128" customFormat="1" ht="14.25" customHeight="1" x14ac:dyDescent="0.3">
      <c r="A51" s="125" t="s">
        <v>39</v>
      </c>
      <c r="B51" s="125" t="s">
        <v>57</v>
      </c>
      <c r="C51" s="6" t="s">
        <v>133</v>
      </c>
      <c r="D51" s="27" t="s">
        <v>493</v>
      </c>
      <c r="E51" s="262" t="s">
        <v>922</v>
      </c>
      <c r="F51" s="104">
        <v>1</v>
      </c>
      <c r="G51" s="104">
        <v>1</v>
      </c>
      <c r="H51" s="132">
        <f t="shared" si="4"/>
        <v>0</v>
      </c>
      <c r="I51" s="112" t="s">
        <v>923</v>
      </c>
      <c r="J51" s="139" t="s">
        <v>924</v>
      </c>
      <c r="K51" s="125" t="s">
        <v>925</v>
      </c>
      <c r="L51" s="125" t="s">
        <v>49</v>
      </c>
      <c r="M51" s="125" t="s">
        <v>926</v>
      </c>
      <c r="N51" s="104">
        <v>1</v>
      </c>
      <c r="O51" s="125"/>
      <c r="P51" s="127"/>
    </row>
    <row r="52" spans="1:16" s="128" customFormat="1" ht="14.25" customHeight="1" x14ac:dyDescent="0.3">
      <c r="A52" s="125" t="s">
        <v>39</v>
      </c>
      <c r="B52" s="125" t="s">
        <v>57</v>
      </c>
      <c r="C52" s="127" t="str">
        <f>C51</f>
        <v>CNI.MES.MC.08</v>
      </c>
      <c r="D52" s="127" t="s">
        <v>493</v>
      </c>
      <c r="E52" s="263"/>
      <c r="F52" s="104">
        <v>1</v>
      </c>
      <c r="G52" s="104">
        <v>1</v>
      </c>
      <c r="H52" s="132">
        <f t="shared" si="4"/>
        <v>0</v>
      </c>
      <c r="I52" s="112" t="s">
        <v>927</v>
      </c>
      <c r="J52" s="139" t="s">
        <v>928</v>
      </c>
      <c r="K52" s="125" t="s">
        <v>929</v>
      </c>
      <c r="L52" s="125" t="s">
        <v>49</v>
      </c>
      <c r="M52" s="125" t="s">
        <v>838</v>
      </c>
      <c r="N52" s="104">
        <v>1</v>
      </c>
      <c r="O52" s="125"/>
      <c r="P52" s="127"/>
    </row>
    <row r="53" spans="1:16" s="128" customFormat="1" ht="14.25" customHeight="1" x14ac:dyDescent="0.3">
      <c r="A53" s="125" t="s">
        <v>39</v>
      </c>
      <c r="B53" s="125" t="s">
        <v>57</v>
      </c>
      <c r="C53" s="6" t="s">
        <v>133</v>
      </c>
      <c r="D53" s="27" t="s">
        <v>494</v>
      </c>
      <c r="E53" s="262" t="s">
        <v>930</v>
      </c>
      <c r="F53" s="104">
        <v>1</v>
      </c>
      <c r="G53" s="104">
        <v>1</v>
      </c>
      <c r="H53" s="132">
        <f t="shared" si="4"/>
        <v>0</v>
      </c>
      <c r="I53" s="112" t="s">
        <v>931</v>
      </c>
      <c r="J53" s="141" t="s">
        <v>932</v>
      </c>
      <c r="K53" s="142" t="s">
        <v>933</v>
      </c>
      <c r="L53" s="142" t="s">
        <v>52</v>
      </c>
      <c r="M53" s="142" t="s">
        <v>934</v>
      </c>
      <c r="N53" s="104">
        <v>1</v>
      </c>
      <c r="O53" s="125"/>
      <c r="P53" s="127"/>
    </row>
    <row r="54" spans="1:16" s="128" customFormat="1" ht="14.25" customHeight="1" x14ac:dyDescent="0.3">
      <c r="A54" s="125" t="s">
        <v>39</v>
      </c>
      <c r="B54" s="125" t="s">
        <v>57</v>
      </c>
      <c r="C54" s="127" t="str">
        <f>C53</f>
        <v>CNI.MES.MC.08</v>
      </c>
      <c r="D54" s="127" t="s">
        <v>494</v>
      </c>
      <c r="E54" s="263"/>
      <c r="F54" s="104">
        <v>1</v>
      </c>
      <c r="G54" s="129">
        <v>0</v>
      </c>
      <c r="H54" s="131">
        <f t="shared" si="4"/>
        <v>1</v>
      </c>
      <c r="I54" s="140"/>
      <c r="J54" s="140" t="s">
        <v>27</v>
      </c>
      <c r="K54" s="125"/>
      <c r="L54" s="125"/>
      <c r="M54" s="125" t="s">
        <v>921</v>
      </c>
      <c r="N54" s="104">
        <v>0</v>
      </c>
      <c r="O54" s="125"/>
      <c r="P54" s="127"/>
    </row>
    <row r="55" spans="1:16" s="128" customFormat="1" ht="14.25" customHeight="1" x14ac:dyDescent="0.3">
      <c r="A55" s="125" t="s">
        <v>39</v>
      </c>
      <c r="B55" s="125" t="s">
        <v>58</v>
      </c>
      <c r="C55" s="6" t="s">
        <v>134</v>
      </c>
      <c r="D55" s="27" t="s">
        <v>495</v>
      </c>
      <c r="E55" s="132" t="s">
        <v>935</v>
      </c>
      <c r="F55" s="104">
        <v>1</v>
      </c>
      <c r="G55" s="104">
        <v>1</v>
      </c>
      <c r="H55" s="132">
        <f t="shared" si="4"/>
        <v>0</v>
      </c>
      <c r="I55" s="112" t="s">
        <v>936</v>
      </c>
      <c r="J55" s="125" t="s">
        <v>937</v>
      </c>
      <c r="K55" s="125" t="s">
        <v>938</v>
      </c>
      <c r="L55" s="125" t="s">
        <v>816</v>
      </c>
      <c r="M55" s="125" t="s">
        <v>939</v>
      </c>
      <c r="N55" s="104">
        <v>1</v>
      </c>
      <c r="O55" s="125"/>
      <c r="P55" s="127"/>
    </row>
    <row r="56" spans="1:16" s="128" customFormat="1" ht="14.25" customHeight="1" x14ac:dyDescent="0.3">
      <c r="A56" s="125" t="s">
        <v>39</v>
      </c>
      <c r="B56" s="125" t="s">
        <v>58</v>
      </c>
      <c r="C56" s="6" t="s">
        <v>134</v>
      </c>
      <c r="D56" s="27" t="s">
        <v>496</v>
      </c>
      <c r="E56" s="132" t="s">
        <v>940</v>
      </c>
      <c r="F56" s="104">
        <v>1</v>
      </c>
      <c r="G56" s="104">
        <v>1</v>
      </c>
      <c r="H56" s="132">
        <f t="shared" si="4"/>
        <v>0</v>
      </c>
      <c r="I56" s="112" t="s">
        <v>941</v>
      </c>
      <c r="J56" s="125" t="s">
        <v>942</v>
      </c>
      <c r="K56" s="125" t="s">
        <v>943</v>
      </c>
      <c r="L56" s="125" t="s">
        <v>816</v>
      </c>
      <c r="M56" s="125" t="s">
        <v>847</v>
      </c>
      <c r="N56" s="104">
        <v>1</v>
      </c>
      <c r="O56" s="125"/>
      <c r="P56" s="127"/>
    </row>
    <row r="57" spans="1:16" s="128" customFormat="1" ht="14.25" customHeight="1" x14ac:dyDescent="0.3">
      <c r="A57" s="125" t="s">
        <v>39</v>
      </c>
      <c r="B57" s="125" t="s">
        <v>59</v>
      </c>
      <c r="C57" s="6" t="s">
        <v>135</v>
      </c>
      <c r="D57" s="27" t="s">
        <v>497</v>
      </c>
      <c r="E57" s="132" t="s">
        <v>944</v>
      </c>
      <c r="F57" s="104">
        <v>1</v>
      </c>
      <c r="G57" s="104">
        <v>1</v>
      </c>
      <c r="H57" s="132">
        <f t="shared" si="4"/>
        <v>0</v>
      </c>
      <c r="I57" s="112" t="s">
        <v>945</v>
      </c>
      <c r="J57" s="125" t="s">
        <v>946</v>
      </c>
      <c r="K57" s="125" t="s">
        <v>947</v>
      </c>
      <c r="L57" s="125" t="s">
        <v>816</v>
      </c>
      <c r="M57" s="125" t="s">
        <v>948</v>
      </c>
      <c r="N57" s="104">
        <v>1</v>
      </c>
      <c r="O57" s="125"/>
      <c r="P57" s="127"/>
    </row>
    <row r="58" spans="1:16" s="128" customFormat="1" ht="14.25" customHeight="1" x14ac:dyDescent="0.3">
      <c r="A58" s="125" t="s">
        <v>39</v>
      </c>
      <c r="B58" s="125" t="s">
        <v>59</v>
      </c>
      <c r="C58" s="6" t="s">
        <v>135</v>
      </c>
      <c r="D58" s="27" t="s">
        <v>498</v>
      </c>
      <c r="E58" s="132" t="s">
        <v>949</v>
      </c>
      <c r="F58" s="104">
        <v>1</v>
      </c>
      <c r="G58" s="129">
        <v>0</v>
      </c>
      <c r="H58" s="131">
        <f t="shared" si="4"/>
        <v>1</v>
      </c>
      <c r="I58" s="143"/>
      <c r="J58" s="143" t="s">
        <v>27</v>
      </c>
      <c r="K58" s="144"/>
      <c r="L58" s="144"/>
      <c r="M58" s="125" t="s">
        <v>921</v>
      </c>
      <c r="N58" s="104">
        <v>0</v>
      </c>
      <c r="O58" s="125"/>
      <c r="P58" s="127"/>
    </row>
    <row r="59" spans="1:16" s="128" customFormat="1" ht="14.25" customHeight="1" x14ac:dyDescent="0.3">
      <c r="A59" s="125" t="s">
        <v>39</v>
      </c>
      <c r="B59" s="125" t="s">
        <v>60</v>
      </c>
      <c r="C59" s="6" t="s">
        <v>136</v>
      </c>
      <c r="D59" s="27" t="s">
        <v>499</v>
      </c>
      <c r="E59" s="262" t="s">
        <v>950</v>
      </c>
      <c r="F59" s="104">
        <v>1</v>
      </c>
      <c r="G59" s="104">
        <v>1</v>
      </c>
      <c r="H59" s="132">
        <f t="shared" si="4"/>
        <v>0</v>
      </c>
      <c r="I59" s="112" t="s">
        <v>951</v>
      </c>
      <c r="J59" s="139" t="s">
        <v>952</v>
      </c>
      <c r="K59" s="125" t="s">
        <v>953</v>
      </c>
      <c r="L59" s="125" t="s">
        <v>816</v>
      </c>
      <c r="M59" s="125" t="s">
        <v>902</v>
      </c>
      <c r="N59" s="104">
        <v>1</v>
      </c>
      <c r="O59" s="125"/>
      <c r="P59" s="127"/>
    </row>
    <row r="60" spans="1:16" s="128" customFormat="1" ht="14.25" customHeight="1" x14ac:dyDescent="0.3">
      <c r="A60" s="125" t="s">
        <v>39</v>
      </c>
      <c r="B60" s="125" t="s">
        <v>60</v>
      </c>
      <c r="C60" s="127" t="str">
        <f>C59</f>
        <v>CNI.MES.MC.11</v>
      </c>
      <c r="D60" s="127" t="s">
        <v>499</v>
      </c>
      <c r="E60" s="263"/>
      <c r="F60" s="104">
        <v>1</v>
      </c>
      <c r="G60" s="129">
        <v>0</v>
      </c>
      <c r="H60" s="131">
        <f t="shared" si="4"/>
        <v>1</v>
      </c>
      <c r="I60" s="140"/>
      <c r="J60" s="140" t="s">
        <v>27</v>
      </c>
      <c r="K60" s="125"/>
      <c r="L60" s="125"/>
      <c r="M60" s="125" t="s">
        <v>921</v>
      </c>
      <c r="N60" s="104">
        <v>0</v>
      </c>
      <c r="O60" s="125"/>
      <c r="P60" s="127"/>
    </row>
    <row r="61" spans="1:16" s="128" customFormat="1" ht="14.25" customHeight="1" x14ac:dyDescent="0.3">
      <c r="A61" s="125" t="s">
        <v>39</v>
      </c>
      <c r="B61" s="125" t="s">
        <v>60</v>
      </c>
      <c r="C61" s="6" t="s">
        <v>136</v>
      </c>
      <c r="D61" s="27" t="s">
        <v>500</v>
      </c>
      <c r="E61" s="262" t="s">
        <v>954</v>
      </c>
      <c r="F61" s="104">
        <v>1</v>
      </c>
      <c r="G61" s="104">
        <v>1</v>
      </c>
      <c r="H61" s="132">
        <f t="shared" si="4"/>
        <v>0</v>
      </c>
      <c r="I61" s="112" t="s">
        <v>955</v>
      </c>
      <c r="J61" s="139" t="s">
        <v>956</v>
      </c>
      <c r="K61" s="125" t="s">
        <v>957</v>
      </c>
      <c r="L61" s="125" t="s">
        <v>49</v>
      </c>
      <c r="M61" s="125" t="s">
        <v>838</v>
      </c>
      <c r="N61" s="104">
        <v>1</v>
      </c>
      <c r="O61" s="125"/>
      <c r="P61" s="127"/>
    </row>
    <row r="62" spans="1:16" s="128" customFormat="1" ht="14.25" customHeight="1" x14ac:dyDescent="0.3">
      <c r="A62" s="125" t="s">
        <v>39</v>
      </c>
      <c r="B62" s="125" t="s">
        <v>60</v>
      </c>
      <c r="C62" s="127" t="str">
        <f>C61</f>
        <v>CNI.MES.MC.11</v>
      </c>
      <c r="D62" s="27" t="s">
        <v>500</v>
      </c>
      <c r="E62" s="263"/>
      <c r="F62" s="104">
        <v>1</v>
      </c>
      <c r="G62" s="129">
        <v>0</v>
      </c>
      <c r="H62" s="131">
        <f t="shared" si="4"/>
        <v>1</v>
      </c>
      <c r="I62" s="140"/>
      <c r="J62" s="140" t="s">
        <v>27</v>
      </c>
      <c r="K62" s="125"/>
      <c r="L62" s="125"/>
      <c r="M62" s="125"/>
      <c r="N62" s="104">
        <v>0</v>
      </c>
      <c r="O62" s="125"/>
      <c r="P62" s="127"/>
    </row>
    <row r="63" spans="1:16" ht="14.25" customHeight="1" x14ac:dyDescent="0.3">
      <c r="A63" s="125" t="s">
        <v>39</v>
      </c>
      <c r="B63" s="21" t="s">
        <v>81</v>
      </c>
      <c r="C63" s="6" t="s">
        <v>147</v>
      </c>
      <c r="D63" s="145" t="s">
        <v>501</v>
      </c>
      <c r="E63" s="248" t="s">
        <v>958</v>
      </c>
      <c r="F63" s="104">
        <v>1</v>
      </c>
      <c r="G63" s="104">
        <v>1</v>
      </c>
      <c r="H63" s="104">
        <f>F63-G63</f>
        <v>0</v>
      </c>
      <c r="I63" s="112" t="s">
        <v>959</v>
      </c>
      <c r="J63" s="146" t="s">
        <v>960</v>
      </c>
      <c r="K63" s="136" t="s">
        <v>961</v>
      </c>
      <c r="L63" s="136" t="s">
        <v>49</v>
      </c>
      <c r="M63" s="136" t="s">
        <v>895</v>
      </c>
      <c r="N63" s="147">
        <v>1</v>
      </c>
      <c r="O63" s="102"/>
    </row>
    <row r="64" spans="1:16" ht="14.25" customHeight="1" x14ac:dyDescent="0.3">
      <c r="A64" s="125" t="s">
        <v>39</v>
      </c>
      <c r="B64" s="21" t="s">
        <v>81</v>
      </c>
      <c r="C64" s="6" t="s">
        <v>147</v>
      </c>
      <c r="D64" s="145" t="s">
        <v>501</v>
      </c>
      <c r="E64" s="248"/>
      <c r="F64" s="104">
        <v>1</v>
      </c>
      <c r="G64" s="104">
        <v>1</v>
      </c>
      <c r="H64" s="104">
        <f t="shared" ref="H64:H92" si="5">F64-G64</f>
        <v>0</v>
      </c>
      <c r="I64" s="112" t="s">
        <v>962</v>
      </c>
      <c r="J64" s="148" t="s">
        <v>963</v>
      </c>
      <c r="K64" s="136" t="s">
        <v>964</v>
      </c>
      <c r="L64" s="136" t="s">
        <v>49</v>
      </c>
      <c r="M64" s="136" t="s">
        <v>847</v>
      </c>
      <c r="N64" s="147">
        <v>1</v>
      </c>
      <c r="O64" s="102"/>
    </row>
    <row r="65" spans="1:15" ht="14.25" customHeight="1" x14ac:dyDescent="0.3">
      <c r="A65" s="125" t="s">
        <v>39</v>
      </c>
      <c r="B65" s="21" t="s">
        <v>81</v>
      </c>
      <c r="C65" s="6" t="s">
        <v>147</v>
      </c>
      <c r="D65" s="145" t="s">
        <v>501</v>
      </c>
      <c r="E65" s="248"/>
      <c r="F65" s="104">
        <v>1</v>
      </c>
      <c r="G65" s="104">
        <v>1</v>
      </c>
      <c r="H65" s="104">
        <f t="shared" si="5"/>
        <v>0</v>
      </c>
      <c r="I65" s="112" t="s">
        <v>965</v>
      </c>
      <c r="J65" s="148" t="s">
        <v>966</v>
      </c>
      <c r="K65" s="136" t="s">
        <v>967</v>
      </c>
      <c r="L65" s="136" t="s">
        <v>49</v>
      </c>
      <c r="M65" s="136" t="s">
        <v>847</v>
      </c>
      <c r="N65" s="147">
        <v>1</v>
      </c>
      <c r="O65" s="102"/>
    </row>
    <row r="66" spans="1:15" ht="14.25" customHeight="1" x14ac:dyDescent="0.3">
      <c r="A66" s="125" t="s">
        <v>39</v>
      </c>
      <c r="B66" s="21" t="s">
        <v>81</v>
      </c>
      <c r="C66" s="6" t="s">
        <v>147</v>
      </c>
      <c r="D66" s="145" t="s">
        <v>502</v>
      </c>
      <c r="E66" s="248" t="s">
        <v>968</v>
      </c>
      <c r="F66" s="104">
        <v>1</v>
      </c>
      <c r="G66" s="104">
        <v>1</v>
      </c>
      <c r="H66" s="104">
        <f t="shared" si="5"/>
        <v>0</v>
      </c>
      <c r="I66" s="112" t="s">
        <v>969</v>
      </c>
      <c r="J66" s="146" t="s">
        <v>970</v>
      </c>
      <c r="K66" s="136" t="s">
        <v>971</v>
      </c>
      <c r="L66" s="136" t="s">
        <v>49</v>
      </c>
      <c r="M66" s="136" t="s">
        <v>939</v>
      </c>
      <c r="N66" s="147">
        <v>1</v>
      </c>
      <c r="O66" s="102"/>
    </row>
    <row r="67" spans="1:15" ht="14.25" customHeight="1" x14ac:dyDescent="0.3">
      <c r="A67" s="125" t="s">
        <v>39</v>
      </c>
      <c r="B67" s="21" t="s">
        <v>81</v>
      </c>
      <c r="C67" s="6" t="s">
        <v>147</v>
      </c>
      <c r="D67" s="145" t="s">
        <v>502</v>
      </c>
      <c r="E67" s="248"/>
      <c r="F67" s="104">
        <v>1</v>
      </c>
      <c r="G67" s="104">
        <v>1</v>
      </c>
      <c r="H67" s="104">
        <f t="shared" si="5"/>
        <v>0</v>
      </c>
      <c r="I67" s="112" t="s">
        <v>972</v>
      </c>
      <c r="J67" s="148" t="s">
        <v>973</v>
      </c>
      <c r="K67" s="136" t="s">
        <v>974</v>
      </c>
      <c r="L67" s="136" t="s">
        <v>49</v>
      </c>
      <c r="M67" s="136" t="s">
        <v>939</v>
      </c>
      <c r="N67" s="147">
        <v>1</v>
      </c>
      <c r="O67" s="102"/>
    </row>
    <row r="68" spans="1:15" ht="14.25" customHeight="1" x14ac:dyDescent="0.3">
      <c r="A68" s="125" t="s">
        <v>39</v>
      </c>
      <c r="B68" s="21" t="s">
        <v>81</v>
      </c>
      <c r="C68" s="6" t="s">
        <v>147</v>
      </c>
      <c r="D68" s="145" t="s">
        <v>502</v>
      </c>
      <c r="E68" s="248"/>
      <c r="F68" s="104">
        <v>1</v>
      </c>
      <c r="G68" s="104">
        <v>1</v>
      </c>
      <c r="H68" s="104">
        <f t="shared" si="5"/>
        <v>0</v>
      </c>
      <c r="I68" s="112" t="s">
        <v>975</v>
      </c>
      <c r="J68" s="146" t="s">
        <v>976</v>
      </c>
      <c r="K68" s="136" t="s">
        <v>977</v>
      </c>
      <c r="L68" s="136" t="s">
        <v>49</v>
      </c>
      <c r="M68" s="136" t="s">
        <v>939</v>
      </c>
      <c r="N68" s="147">
        <v>1</v>
      </c>
      <c r="O68" s="102"/>
    </row>
    <row r="69" spans="1:15" ht="14.25" customHeight="1" x14ac:dyDescent="0.3">
      <c r="A69" s="125" t="s">
        <v>39</v>
      </c>
      <c r="B69" s="21" t="s">
        <v>81</v>
      </c>
      <c r="C69" s="6" t="s">
        <v>147</v>
      </c>
      <c r="D69" s="145" t="s">
        <v>503</v>
      </c>
      <c r="E69" s="248" t="s">
        <v>978</v>
      </c>
      <c r="F69" s="104">
        <v>1</v>
      </c>
      <c r="G69" s="104">
        <v>1</v>
      </c>
      <c r="H69" s="104">
        <f t="shared" si="5"/>
        <v>0</v>
      </c>
      <c r="I69" s="112" t="s">
        <v>979</v>
      </c>
      <c r="J69" s="146" t="s">
        <v>980</v>
      </c>
      <c r="K69" s="136" t="s">
        <v>981</v>
      </c>
      <c r="L69" s="136" t="s">
        <v>49</v>
      </c>
      <c r="M69" s="136" t="s">
        <v>833</v>
      </c>
      <c r="N69" s="147">
        <v>1</v>
      </c>
      <c r="O69" s="102"/>
    </row>
    <row r="70" spans="1:15" ht="14.25" customHeight="1" x14ac:dyDescent="0.3">
      <c r="A70" s="125" t="s">
        <v>39</v>
      </c>
      <c r="B70" s="21" t="s">
        <v>81</v>
      </c>
      <c r="C70" s="6" t="s">
        <v>147</v>
      </c>
      <c r="D70" s="145" t="s">
        <v>503</v>
      </c>
      <c r="E70" s="248"/>
      <c r="F70" s="104">
        <v>1</v>
      </c>
      <c r="G70" s="104">
        <v>1</v>
      </c>
      <c r="H70" s="104">
        <f t="shared" si="5"/>
        <v>0</v>
      </c>
      <c r="I70" s="112" t="s">
        <v>982</v>
      </c>
      <c r="J70" s="146" t="s">
        <v>983</v>
      </c>
      <c r="K70" s="136" t="s">
        <v>984</v>
      </c>
      <c r="L70" s="136" t="s">
        <v>49</v>
      </c>
      <c r="M70" s="136" t="s">
        <v>833</v>
      </c>
      <c r="N70" s="147">
        <v>1</v>
      </c>
      <c r="O70" s="102"/>
    </row>
    <row r="71" spans="1:15" ht="14.25" customHeight="1" x14ac:dyDescent="0.3">
      <c r="A71" s="125" t="s">
        <v>39</v>
      </c>
      <c r="B71" s="21" t="s">
        <v>81</v>
      </c>
      <c r="C71" s="6" t="s">
        <v>147</v>
      </c>
      <c r="D71" s="145" t="s">
        <v>503</v>
      </c>
      <c r="E71" s="248"/>
      <c r="F71" s="104">
        <v>1</v>
      </c>
      <c r="G71" s="104">
        <v>1</v>
      </c>
      <c r="H71" s="104">
        <f t="shared" si="5"/>
        <v>0</v>
      </c>
      <c r="I71" s="112" t="s">
        <v>985</v>
      </c>
      <c r="J71" s="146" t="s">
        <v>986</v>
      </c>
      <c r="K71" s="136" t="s">
        <v>987</v>
      </c>
      <c r="L71" s="136" t="s">
        <v>49</v>
      </c>
      <c r="M71" s="136" t="s">
        <v>988</v>
      </c>
      <c r="N71" s="147">
        <v>1</v>
      </c>
      <c r="O71" s="102"/>
    </row>
    <row r="72" spans="1:15" ht="14.25" customHeight="1" x14ac:dyDescent="0.3">
      <c r="A72" s="125" t="s">
        <v>39</v>
      </c>
      <c r="B72" s="21" t="s">
        <v>81</v>
      </c>
      <c r="C72" s="6" t="s">
        <v>147</v>
      </c>
      <c r="D72" s="145" t="s">
        <v>504</v>
      </c>
      <c r="E72" s="248" t="s">
        <v>989</v>
      </c>
      <c r="F72" s="104">
        <v>1</v>
      </c>
      <c r="G72" s="104">
        <v>1</v>
      </c>
      <c r="H72" s="104">
        <f t="shared" si="5"/>
        <v>0</v>
      </c>
      <c r="I72" s="112" t="s">
        <v>990</v>
      </c>
      <c r="J72" s="146" t="s">
        <v>991</v>
      </c>
      <c r="K72" s="136" t="s">
        <v>992</v>
      </c>
      <c r="L72" s="136" t="s">
        <v>49</v>
      </c>
      <c r="M72" s="136" t="s">
        <v>866</v>
      </c>
      <c r="N72" s="147">
        <v>1</v>
      </c>
      <c r="O72" s="102"/>
    </row>
    <row r="73" spans="1:15" ht="14.25" customHeight="1" x14ac:dyDescent="0.3">
      <c r="A73" s="125" t="s">
        <v>39</v>
      </c>
      <c r="B73" s="21" t="s">
        <v>81</v>
      </c>
      <c r="C73" s="6" t="s">
        <v>147</v>
      </c>
      <c r="D73" s="145" t="s">
        <v>504</v>
      </c>
      <c r="E73" s="248"/>
      <c r="F73" s="104">
        <v>1</v>
      </c>
      <c r="G73" s="104">
        <v>1</v>
      </c>
      <c r="H73" s="104">
        <f t="shared" si="5"/>
        <v>0</v>
      </c>
      <c r="I73" s="112" t="s">
        <v>993</v>
      </c>
      <c r="J73" s="146" t="s">
        <v>994</v>
      </c>
      <c r="K73" s="136" t="s">
        <v>995</v>
      </c>
      <c r="L73" s="136" t="s">
        <v>49</v>
      </c>
      <c r="M73" s="136" t="s">
        <v>996</v>
      </c>
      <c r="N73" s="147">
        <v>1</v>
      </c>
      <c r="O73" s="102"/>
    </row>
    <row r="74" spans="1:15" ht="14.25" customHeight="1" x14ac:dyDescent="0.3">
      <c r="A74" s="125" t="s">
        <v>39</v>
      </c>
      <c r="B74" s="21" t="s">
        <v>81</v>
      </c>
      <c r="C74" s="6" t="s">
        <v>147</v>
      </c>
      <c r="D74" s="145" t="s">
        <v>504</v>
      </c>
      <c r="E74" s="248"/>
      <c r="F74" s="104">
        <v>1</v>
      </c>
      <c r="G74" s="104">
        <v>1</v>
      </c>
      <c r="H74" s="104">
        <f t="shared" si="5"/>
        <v>0</v>
      </c>
      <c r="I74" s="112" t="s">
        <v>997</v>
      </c>
      <c r="J74" s="146" t="s">
        <v>998</v>
      </c>
      <c r="K74" s="136" t="s">
        <v>999</v>
      </c>
      <c r="L74" s="136" t="s">
        <v>49</v>
      </c>
      <c r="M74" s="136" t="s">
        <v>939</v>
      </c>
      <c r="N74" s="147">
        <v>1</v>
      </c>
      <c r="O74" s="102"/>
    </row>
    <row r="75" spans="1:15" ht="14.25" customHeight="1" x14ac:dyDescent="0.3">
      <c r="A75" s="125" t="s">
        <v>39</v>
      </c>
      <c r="B75" s="21" t="s">
        <v>81</v>
      </c>
      <c r="C75" s="6" t="s">
        <v>147</v>
      </c>
      <c r="D75" s="145" t="s">
        <v>505</v>
      </c>
      <c r="E75" s="248" t="s">
        <v>1000</v>
      </c>
      <c r="F75" s="132">
        <v>1</v>
      </c>
      <c r="G75" s="104">
        <v>1</v>
      </c>
      <c r="H75" s="104">
        <f t="shared" si="5"/>
        <v>0</v>
      </c>
      <c r="I75" s="112" t="s">
        <v>1001</v>
      </c>
      <c r="J75" s="146" t="s">
        <v>1002</v>
      </c>
      <c r="K75" s="136" t="s">
        <v>1003</v>
      </c>
      <c r="L75" s="136" t="s">
        <v>49</v>
      </c>
      <c r="M75" s="136" t="s">
        <v>1004</v>
      </c>
      <c r="N75" s="147">
        <v>1</v>
      </c>
      <c r="O75" s="102"/>
    </row>
    <row r="76" spans="1:15" ht="14.25" customHeight="1" x14ac:dyDescent="0.3">
      <c r="A76" s="125" t="s">
        <v>39</v>
      </c>
      <c r="B76" s="21" t="s">
        <v>81</v>
      </c>
      <c r="C76" s="6" t="s">
        <v>147</v>
      </c>
      <c r="D76" s="145" t="s">
        <v>505</v>
      </c>
      <c r="E76" s="248"/>
      <c r="F76" s="132">
        <v>1</v>
      </c>
      <c r="G76" s="104">
        <v>1</v>
      </c>
      <c r="H76" s="104">
        <f t="shared" si="5"/>
        <v>0</v>
      </c>
      <c r="I76" s="112" t="s">
        <v>1005</v>
      </c>
      <c r="J76" s="146" t="s">
        <v>1006</v>
      </c>
      <c r="K76" s="136" t="s">
        <v>1007</v>
      </c>
      <c r="L76" s="136" t="s">
        <v>49</v>
      </c>
      <c r="M76" s="136" t="s">
        <v>866</v>
      </c>
      <c r="N76" s="147">
        <v>1</v>
      </c>
      <c r="O76" s="102"/>
    </row>
    <row r="77" spans="1:15" ht="14.25" customHeight="1" x14ac:dyDescent="0.3">
      <c r="A77" s="125" t="s">
        <v>39</v>
      </c>
      <c r="B77" s="21" t="s">
        <v>81</v>
      </c>
      <c r="C77" s="6" t="s">
        <v>147</v>
      </c>
      <c r="D77" s="145" t="s">
        <v>505</v>
      </c>
      <c r="E77" s="248"/>
      <c r="F77" s="132">
        <v>1</v>
      </c>
      <c r="G77" s="104">
        <v>1</v>
      </c>
      <c r="H77" s="104">
        <f t="shared" si="5"/>
        <v>0</v>
      </c>
      <c r="I77" s="112" t="s">
        <v>1008</v>
      </c>
      <c r="J77" s="146" t="s">
        <v>1009</v>
      </c>
      <c r="K77" s="136" t="s">
        <v>1010</v>
      </c>
      <c r="L77" s="136" t="s">
        <v>49</v>
      </c>
      <c r="M77" s="136" t="s">
        <v>847</v>
      </c>
      <c r="N77" s="147">
        <v>1</v>
      </c>
      <c r="O77" s="102"/>
    </row>
    <row r="78" spans="1:15" ht="14.25" customHeight="1" x14ac:dyDescent="0.3">
      <c r="A78" s="125" t="s">
        <v>39</v>
      </c>
      <c r="B78" s="21" t="s">
        <v>81</v>
      </c>
      <c r="C78" s="6" t="s">
        <v>147</v>
      </c>
      <c r="D78" s="145" t="s">
        <v>506</v>
      </c>
      <c r="E78" s="248" t="s">
        <v>1011</v>
      </c>
      <c r="F78" s="132">
        <v>1</v>
      </c>
      <c r="G78" s="104">
        <v>1</v>
      </c>
      <c r="H78" s="104">
        <f t="shared" si="5"/>
        <v>0</v>
      </c>
      <c r="I78" s="149"/>
      <c r="J78" s="149" t="s">
        <v>1012</v>
      </c>
      <c r="K78" s="136"/>
      <c r="L78" s="136"/>
      <c r="M78" s="136" t="s">
        <v>1013</v>
      </c>
      <c r="N78" s="147">
        <v>1</v>
      </c>
      <c r="O78" s="102"/>
    </row>
    <row r="79" spans="1:15" ht="14.25" customHeight="1" x14ac:dyDescent="0.3">
      <c r="A79" s="125" t="s">
        <v>39</v>
      </c>
      <c r="B79" s="21" t="s">
        <v>81</v>
      </c>
      <c r="C79" s="6" t="s">
        <v>147</v>
      </c>
      <c r="D79" s="145" t="s">
        <v>506</v>
      </c>
      <c r="E79" s="248"/>
      <c r="F79" s="132">
        <v>1</v>
      </c>
      <c r="G79" s="104">
        <v>1</v>
      </c>
      <c r="H79" s="104">
        <f t="shared" si="5"/>
        <v>0</v>
      </c>
      <c r="I79" s="112" t="s">
        <v>1014</v>
      </c>
      <c r="J79" s="146" t="s">
        <v>1015</v>
      </c>
      <c r="K79" s="136" t="s">
        <v>1016</v>
      </c>
      <c r="L79" s="136" t="s">
        <v>49</v>
      </c>
      <c r="M79" s="136" t="s">
        <v>1017</v>
      </c>
      <c r="N79" s="147">
        <v>1</v>
      </c>
      <c r="O79" s="102"/>
    </row>
    <row r="80" spans="1:15" ht="14.25" customHeight="1" x14ac:dyDescent="0.3">
      <c r="A80" s="125" t="s">
        <v>39</v>
      </c>
      <c r="B80" s="21" t="s">
        <v>81</v>
      </c>
      <c r="C80" s="6" t="s">
        <v>147</v>
      </c>
      <c r="D80" s="145" t="s">
        <v>506</v>
      </c>
      <c r="E80" s="248"/>
      <c r="F80" s="132">
        <v>1</v>
      </c>
      <c r="G80" s="129">
        <v>0</v>
      </c>
      <c r="H80" s="129">
        <f t="shared" si="5"/>
        <v>1</v>
      </c>
      <c r="I80" s="150"/>
      <c r="J80" s="150" t="s">
        <v>27</v>
      </c>
      <c r="K80" s="136"/>
      <c r="L80" s="136"/>
      <c r="M80" s="136" t="s">
        <v>921</v>
      </c>
      <c r="N80" s="147">
        <v>0</v>
      </c>
      <c r="O80" s="102"/>
    </row>
    <row r="81" spans="1:15" ht="14.25" customHeight="1" x14ac:dyDescent="0.3">
      <c r="A81" s="125" t="s">
        <v>39</v>
      </c>
      <c r="B81" s="21" t="s">
        <v>81</v>
      </c>
      <c r="C81" s="6" t="s">
        <v>147</v>
      </c>
      <c r="D81" s="145" t="s">
        <v>507</v>
      </c>
      <c r="E81" s="248" t="s">
        <v>1018</v>
      </c>
      <c r="F81" s="132">
        <v>1</v>
      </c>
      <c r="G81" s="104">
        <v>1</v>
      </c>
      <c r="H81" s="104">
        <f t="shared" si="5"/>
        <v>0</v>
      </c>
      <c r="I81" s="112" t="s">
        <v>1019</v>
      </c>
      <c r="J81" s="146" t="s">
        <v>1020</v>
      </c>
      <c r="K81" s="136" t="s">
        <v>964</v>
      </c>
      <c r="L81" s="136" t="s">
        <v>49</v>
      </c>
      <c r="M81" s="136" t="s">
        <v>847</v>
      </c>
      <c r="N81" s="147">
        <v>1</v>
      </c>
      <c r="O81" s="102"/>
    </row>
    <row r="82" spans="1:15" ht="14.25" customHeight="1" x14ac:dyDescent="0.3">
      <c r="A82" s="125" t="s">
        <v>39</v>
      </c>
      <c r="B82" s="21" t="s">
        <v>81</v>
      </c>
      <c r="C82" s="6" t="s">
        <v>147</v>
      </c>
      <c r="D82" s="145" t="s">
        <v>507</v>
      </c>
      <c r="E82" s="248"/>
      <c r="F82" s="132">
        <v>1</v>
      </c>
      <c r="G82" s="104">
        <v>1</v>
      </c>
      <c r="H82" s="104">
        <f t="shared" si="5"/>
        <v>0</v>
      </c>
      <c r="I82" s="112" t="s">
        <v>1021</v>
      </c>
      <c r="J82" s="146" t="s">
        <v>1022</v>
      </c>
      <c r="K82" s="136" t="s">
        <v>1023</v>
      </c>
      <c r="L82" s="136" t="s">
        <v>49</v>
      </c>
      <c r="M82" s="136" t="s">
        <v>1017</v>
      </c>
      <c r="N82" s="147">
        <v>1</v>
      </c>
      <c r="O82" s="102"/>
    </row>
    <row r="83" spans="1:15" ht="14.25" customHeight="1" x14ac:dyDescent="0.3">
      <c r="A83" s="125" t="s">
        <v>39</v>
      </c>
      <c r="B83" s="21" t="s">
        <v>81</v>
      </c>
      <c r="C83" s="6" t="s">
        <v>147</v>
      </c>
      <c r="D83" s="145" t="s">
        <v>507</v>
      </c>
      <c r="E83" s="248"/>
      <c r="F83" s="132">
        <v>1</v>
      </c>
      <c r="G83" s="104">
        <v>1</v>
      </c>
      <c r="H83" s="104">
        <f t="shared" si="5"/>
        <v>0</v>
      </c>
      <c r="I83" s="112" t="s">
        <v>1024</v>
      </c>
      <c r="J83" s="146" t="s">
        <v>1025</v>
      </c>
      <c r="K83" s="136" t="s">
        <v>1026</v>
      </c>
      <c r="L83" s="136" t="s">
        <v>49</v>
      </c>
      <c r="M83" s="136" t="s">
        <v>855</v>
      </c>
      <c r="N83" s="147">
        <v>1</v>
      </c>
      <c r="O83" s="102"/>
    </row>
    <row r="84" spans="1:15" ht="14.25" customHeight="1" x14ac:dyDescent="0.3">
      <c r="A84" s="125" t="s">
        <v>39</v>
      </c>
      <c r="B84" s="21" t="s">
        <v>81</v>
      </c>
      <c r="C84" s="6" t="s">
        <v>147</v>
      </c>
      <c r="D84" s="145" t="s">
        <v>508</v>
      </c>
      <c r="E84" s="248" t="s">
        <v>1027</v>
      </c>
      <c r="F84" s="104">
        <v>1</v>
      </c>
      <c r="G84" s="104">
        <v>1</v>
      </c>
      <c r="H84" s="104">
        <f t="shared" si="5"/>
        <v>0</v>
      </c>
      <c r="I84" s="112" t="s">
        <v>1028</v>
      </c>
      <c r="J84" s="146" t="s">
        <v>1029</v>
      </c>
      <c r="K84" s="136" t="s">
        <v>1030</v>
      </c>
      <c r="L84" s="136" t="s">
        <v>49</v>
      </c>
      <c r="M84" s="136" t="s">
        <v>1031</v>
      </c>
      <c r="N84" s="147">
        <v>1</v>
      </c>
      <c r="O84" s="102"/>
    </row>
    <row r="85" spans="1:15" ht="14.25" customHeight="1" x14ac:dyDescent="0.3">
      <c r="A85" s="125" t="s">
        <v>39</v>
      </c>
      <c r="B85" s="21" t="s">
        <v>81</v>
      </c>
      <c r="C85" s="6" t="s">
        <v>147</v>
      </c>
      <c r="D85" s="145" t="s">
        <v>508</v>
      </c>
      <c r="E85" s="248"/>
      <c r="F85" s="104">
        <v>1</v>
      </c>
      <c r="G85" s="104">
        <v>1</v>
      </c>
      <c r="H85" s="104">
        <f t="shared" si="5"/>
        <v>0</v>
      </c>
      <c r="I85" s="112" t="s">
        <v>1032</v>
      </c>
      <c r="J85" s="146" t="s">
        <v>1033</v>
      </c>
      <c r="K85" s="136" t="s">
        <v>1034</v>
      </c>
      <c r="L85" s="136" t="s">
        <v>49</v>
      </c>
      <c r="M85" s="136" t="s">
        <v>939</v>
      </c>
      <c r="N85" s="147">
        <v>1</v>
      </c>
      <c r="O85" s="102"/>
    </row>
    <row r="86" spans="1:15" ht="14.25" customHeight="1" x14ac:dyDescent="0.3">
      <c r="A86" s="125" t="s">
        <v>39</v>
      </c>
      <c r="B86" s="21" t="s">
        <v>81</v>
      </c>
      <c r="C86" s="6" t="s">
        <v>147</v>
      </c>
      <c r="D86" s="145" t="s">
        <v>508</v>
      </c>
      <c r="E86" s="248"/>
      <c r="F86" s="104">
        <v>1</v>
      </c>
      <c r="G86" s="104">
        <v>1</v>
      </c>
      <c r="H86" s="104">
        <f t="shared" si="5"/>
        <v>0</v>
      </c>
      <c r="I86" s="112" t="s">
        <v>1035</v>
      </c>
      <c r="J86" s="146" t="s">
        <v>1036</v>
      </c>
      <c r="K86" s="136" t="s">
        <v>1037</v>
      </c>
      <c r="L86" s="136" t="s">
        <v>49</v>
      </c>
      <c r="M86" s="136" t="s">
        <v>939</v>
      </c>
      <c r="N86" s="147">
        <v>1</v>
      </c>
      <c r="O86" s="102"/>
    </row>
    <row r="87" spans="1:15" ht="14.25" customHeight="1" x14ac:dyDescent="0.3">
      <c r="A87" s="125" t="s">
        <v>39</v>
      </c>
      <c r="B87" s="21" t="s">
        <v>81</v>
      </c>
      <c r="C87" s="6" t="s">
        <v>147</v>
      </c>
      <c r="D87" s="145" t="s">
        <v>509</v>
      </c>
      <c r="E87" s="248" t="s">
        <v>1038</v>
      </c>
      <c r="F87" s="104">
        <v>1</v>
      </c>
      <c r="G87" s="104">
        <v>1</v>
      </c>
      <c r="H87" s="104">
        <f t="shared" si="5"/>
        <v>0</v>
      </c>
      <c r="I87" s="112" t="s">
        <v>1039</v>
      </c>
      <c r="J87" s="146" t="s">
        <v>1040</v>
      </c>
      <c r="K87" s="136" t="s">
        <v>1041</v>
      </c>
      <c r="L87" s="136" t="s">
        <v>49</v>
      </c>
      <c r="M87" s="136" t="s">
        <v>866</v>
      </c>
      <c r="N87" s="147">
        <v>1</v>
      </c>
      <c r="O87" s="102"/>
    </row>
    <row r="88" spans="1:15" ht="14.25" customHeight="1" x14ac:dyDescent="0.3">
      <c r="A88" s="125" t="s">
        <v>39</v>
      </c>
      <c r="B88" s="21" t="s">
        <v>81</v>
      </c>
      <c r="C88" s="6" t="s">
        <v>147</v>
      </c>
      <c r="D88" s="145" t="s">
        <v>509</v>
      </c>
      <c r="E88" s="248"/>
      <c r="F88" s="104">
        <v>1</v>
      </c>
      <c r="G88" s="104">
        <v>1</v>
      </c>
      <c r="H88" s="104">
        <f t="shared" si="5"/>
        <v>0</v>
      </c>
      <c r="I88" s="112" t="s">
        <v>1042</v>
      </c>
      <c r="J88" s="146" t="s">
        <v>1043</v>
      </c>
      <c r="K88" s="136" t="s">
        <v>1044</v>
      </c>
      <c r="L88" s="136" t="s">
        <v>49</v>
      </c>
      <c r="M88" s="136" t="s">
        <v>866</v>
      </c>
      <c r="N88" s="147">
        <v>1</v>
      </c>
      <c r="O88" s="102"/>
    </row>
    <row r="89" spans="1:15" ht="14.25" customHeight="1" x14ac:dyDescent="0.3">
      <c r="A89" s="125" t="s">
        <v>39</v>
      </c>
      <c r="B89" s="21" t="s">
        <v>81</v>
      </c>
      <c r="C89" s="6" t="s">
        <v>147</v>
      </c>
      <c r="D89" s="145" t="s">
        <v>509</v>
      </c>
      <c r="E89" s="248"/>
      <c r="F89" s="104">
        <v>1</v>
      </c>
      <c r="G89" s="104">
        <v>1</v>
      </c>
      <c r="H89" s="104">
        <f t="shared" si="5"/>
        <v>0</v>
      </c>
      <c r="I89" s="112" t="s">
        <v>990</v>
      </c>
      <c r="J89" s="146" t="s">
        <v>991</v>
      </c>
      <c r="K89" s="136" t="s">
        <v>992</v>
      </c>
      <c r="L89" s="136" t="s">
        <v>49</v>
      </c>
      <c r="M89" s="136" t="s">
        <v>866</v>
      </c>
      <c r="N89" s="147">
        <v>1</v>
      </c>
      <c r="O89" s="102"/>
    </row>
    <row r="90" spans="1:15" ht="14.25" customHeight="1" x14ac:dyDescent="0.3">
      <c r="A90" s="125" t="s">
        <v>39</v>
      </c>
      <c r="B90" s="21" t="s">
        <v>81</v>
      </c>
      <c r="C90" s="6" t="s">
        <v>147</v>
      </c>
      <c r="D90" s="145" t="s">
        <v>510</v>
      </c>
      <c r="E90" s="248" t="s">
        <v>1045</v>
      </c>
      <c r="F90" s="104">
        <v>1</v>
      </c>
      <c r="G90" s="104">
        <v>1</v>
      </c>
      <c r="H90" s="104">
        <f t="shared" si="5"/>
        <v>0</v>
      </c>
      <c r="I90" s="112" t="s">
        <v>1046</v>
      </c>
      <c r="J90" s="146" t="s">
        <v>1047</v>
      </c>
      <c r="K90" s="136" t="s">
        <v>1048</v>
      </c>
      <c r="L90" s="136" t="s">
        <v>49</v>
      </c>
      <c r="M90" s="136" t="s">
        <v>866</v>
      </c>
      <c r="N90" s="147">
        <v>1</v>
      </c>
      <c r="O90" s="102"/>
    </row>
    <row r="91" spans="1:15" ht="14.25" customHeight="1" x14ac:dyDescent="0.3">
      <c r="A91" s="125" t="s">
        <v>39</v>
      </c>
      <c r="B91" s="21" t="s">
        <v>81</v>
      </c>
      <c r="C91" s="6" t="s">
        <v>147</v>
      </c>
      <c r="D91" s="145" t="s">
        <v>510</v>
      </c>
      <c r="E91" s="248"/>
      <c r="F91" s="104">
        <v>1</v>
      </c>
      <c r="G91" s="104">
        <v>1</v>
      </c>
      <c r="H91" s="104">
        <f t="shared" si="5"/>
        <v>0</v>
      </c>
      <c r="I91" s="112" t="s">
        <v>1049</v>
      </c>
      <c r="J91" s="146" t="s">
        <v>1050</v>
      </c>
      <c r="K91" s="136" t="s">
        <v>1051</v>
      </c>
      <c r="L91" s="136" t="s">
        <v>49</v>
      </c>
      <c r="M91" s="136" t="s">
        <v>1052</v>
      </c>
      <c r="N91" s="147">
        <v>1</v>
      </c>
      <c r="O91" s="102"/>
    </row>
    <row r="92" spans="1:15" ht="14.25" customHeight="1" x14ac:dyDescent="0.3">
      <c r="A92" s="125" t="s">
        <v>39</v>
      </c>
      <c r="B92" s="21" t="s">
        <v>81</v>
      </c>
      <c r="C92" s="6" t="s">
        <v>147</v>
      </c>
      <c r="D92" s="145" t="s">
        <v>510</v>
      </c>
      <c r="E92" s="248"/>
      <c r="F92" s="104">
        <v>1</v>
      </c>
      <c r="G92" s="104">
        <v>1</v>
      </c>
      <c r="H92" s="104">
        <f t="shared" si="5"/>
        <v>0</v>
      </c>
      <c r="I92" s="112" t="s">
        <v>1053</v>
      </c>
      <c r="J92" s="146" t="s">
        <v>1054</v>
      </c>
      <c r="K92" s="136" t="s">
        <v>1055</v>
      </c>
      <c r="L92" s="136" t="s">
        <v>49</v>
      </c>
      <c r="M92" s="136" t="s">
        <v>866</v>
      </c>
      <c r="N92" s="147">
        <v>1</v>
      </c>
      <c r="O92" s="102"/>
    </row>
    <row r="93" spans="1:15" s="154" customFormat="1" ht="14.25" customHeight="1" x14ac:dyDescent="0.3">
      <c r="A93" s="125" t="s">
        <v>39</v>
      </c>
      <c r="B93" s="125" t="s">
        <v>1056</v>
      </c>
      <c r="C93" s="6" t="s">
        <v>148</v>
      </c>
      <c r="D93" s="28" t="s">
        <v>511</v>
      </c>
      <c r="E93" s="256" t="s">
        <v>1057</v>
      </c>
      <c r="F93" s="151">
        <v>1</v>
      </c>
      <c r="G93" s="151">
        <v>1</v>
      </c>
      <c r="H93" s="151">
        <f>F93-G93</f>
        <v>0</v>
      </c>
      <c r="I93" s="112" t="s">
        <v>1058</v>
      </c>
      <c r="J93" s="152" t="s">
        <v>1059</v>
      </c>
      <c r="K93" s="152" t="s">
        <v>1060</v>
      </c>
      <c r="L93" s="152" t="s">
        <v>49</v>
      </c>
      <c r="M93" s="152" t="s">
        <v>939</v>
      </c>
      <c r="N93" s="153">
        <v>1</v>
      </c>
      <c r="O93" s="152"/>
    </row>
    <row r="94" spans="1:15" s="154" customFormat="1" ht="14.25" customHeight="1" x14ac:dyDescent="0.3">
      <c r="A94" s="125" t="s">
        <v>39</v>
      </c>
      <c r="B94" s="125" t="s">
        <v>1056</v>
      </c>
      <c r="C94" s="6" t="s">
        <v>148</v>
      </c>
      <c r="D94" s="155" t="s">
        <v>511</v>
      </c>
      <c r="E94" s="256"/>
      <c r="F94" s="151">
        <v>1</v>
      </c>
      <c r="G94" s="151">
        <v>1</v>
      </c>
      <c r="H94" s="151">
        <f t="shared" ref="H94:H122" si="6">F94-G94</f>
        <v>0</v>
      </c>
      <c r="I94" s="112" t="s">
        <v>1061</v>
      </c>
      <c r="J94" s="152" t="s">
        <v>1062</v>
      </c>
      <c r="K94" s="152" t="s">
        <v>1063</v>
      </c>
      <c r="L94" s="152" t="s">
        <v>49</v>
      </c>
      <c r="M94" s="152" t="s">
        <v>1064</v>
      </c>
      <c r="N94" s="153">
        <v>1</v>
      </c>
      <c r="O94" s="152"/>
    </row>
    <row r="95" spans="1:15" s="154" customFormat="1" ht="14.25" customHeight="1" x14ac:dyDescent="0.3">
      <c r="A95" s="125" t="s">
        <v>39</v>
      </c>
      <c r="B95" s="125" t="s">
        <v>1056</v>
      </c>
      <c r="C95" s="6" t="s">
        <v>148</v>
      </c>
      <c r="D95" s="155" t="s">
        <v>511</v>
      </c>
      <c r="E95" s="256"/>
      <c r="F95" s="151">
        <v>1</v>
      </c>
      <c r="G95" s="151">
        <v>1</v>
      </c>
      <c r="H95" s="151">
        <f t="shared" si="6"/>
        <v>0</v>
      </c>
      <c r="I95" s="112" t="s">
        <v>1065</v>
      </c>
      <c r="J95" s="152" t="s">
        <v>1066</v>
      </c>
      <c r="K95" s="152" t="s">
        <v>1067</v>
      </c>
      <c r="L95" s="152" t="s">
        <v>49</v>
      </c>
      <c r="M95" s="152" t="s">
        <v>939</v>
      </c>
      <c r="N95" s="153">
        <v>1</v>
      </c>
      <c r="O95" s="152"/>
    </row>
    <row r="96" spans="1:15" s="154" customFormat="1" ht="14.25" customHeight="1" x14ac:dyDescent="0.3">
      <c r="A96" s="125" t="s">
        <v>39</v>
      </c>
      <c r="B96" s="125" t="s">
        <v>1056</v>
      </c>
      <c r="C96" s="6" t="s">
        <v>148</v>
      </c>
      <c r="D96" s="28" t="s">
        <v>512</v>
      </c>
      <c r="E96" s="256" t="s">
        <v>1068</v>
      </c>
      <c r="F96" s="151">
        <v>1</v>
      </c>
      <c r="G96" s="151">
        <v>1</v>
      </c>
      <c r="H96" s="151">
        <f t="shared" si="6"/>
        <v>0</v>
      </c>
      <c r="I96" s="112" t="s">
        <v>1069</v>
      </c>
      <c r="J96" s="152" t="s">
        <v>1070</v>
      </c>
      <c r="K96" s="152" t="s">
        <v>977</v>
      </c>
      <c r="L96" s="152" t="s">
        <v>49</v>
      </c>
      <c r="M96" s="152" t="s">
        <v>939</v>
      </c>
      <c r="N96" s="153">
        <v>1</v>
      </c>
      <c r="O96" s="152"/>
    </row>
    <row r="97" spans="1:15" s="154" customFormat="1" ht="14.25" customHeight="1" x14ac:dyDescent="0.3">
      <c r="A97" s="125" t="s">
        <v>39</v>
      </c>
      <c r="B97" s="125" t="s">
        <v>1056</v>
      </c>
      <c r="C97" s="6" t="s">
        <v>148</v>
      </c>
      <c r="D97" s="155" t="s">
        <v>512</v>
      </c>
      <c r="E97" s="257"/>
      <c r="F97" s="151">
        <v>1</v>
      </c>
      <c r="G97" s="151">
        <v>1</v>
      </c>
      <c r="H97" s="151">
        <f t="shared" si="6"/>
        <v>0</v>
      </c>
      <c r="I97" s="157"/>
      <c r="J97" s="157" t="s">
        <v>1071</v>
      </c>
      <c r="K97" s="152"/>
      <c r="L97" s="152"/>
      <c r="M97" s="152" t="s">
        <v>1072</v>
      </c>
      <c r="N97" s="153">
        <v>1</v>
      </c>
      <c r="O97" s="152"/>
    </row>
    <row r="98" spans="1:15" s="154" customFormat="1" ht="14.25" customHeight="1" x14ac:dyDescent="0.3">
      <c r="A98" s="125" t="s">
        <v>39</v>
      </c>
      <c r="B98" s="125" t="s">
        <v>1056</v>
      </c>
      <c r="C98" s="6" t="s">
        <v>148</v>
      </c>
      <c r="D98" s="155" t="s">
        <v>512</v>
      </c>
      <c r="E98" s="257"/>
      <c r="F98" s="151">
        <v>1</v>
      </c>
      <c r="G98" s="151">
        <v>1</v>
      </c>
      <c r="H98" s="151">
        <f t="shared" si="6"/>
        <v>0</v>
      </c>
      <c r="I98" s="112" t="s">
        <v>1073</v>
      </c>
      <c r="J98" s="152" t="s">
        <v>1074</v>
      </c>
      <c r="K98" s="152" t="s">
        <v>1060</v>
      </c>
      <c r="L98" s="152" t="s">
        <v>49</v>
      </c>
      <c r="M98" s="152" t="s">
        <v>939</v>
      </c>
      <c r="N98" s="153">
        <v>1</v>
      </c>
      <c r="O98" s="152"/>
    </row>
    <row r="99" spans="1:15" s="154" customFormat="1" ht="14.25" customHeight="1" x14ac:dyDescent="0.3">
      <c r="A99" s="125" t="s">
        <v>39</v>
      </c>
      <c r="B99" s="125" t="s">
        <v>1056</v>
      </c>
      <c r="C99" s="6" t="s">
        <v>148</v>
      </c>
      <c r="D99" s="28" t="s">
        <v>513</v>
      </c>
      <c r="E99" s="256" t="s">
        <v>1075</v>
      </c>
      <c r="F99" s="151">
        <v>1</v>
      </c>
      <c r="G99" s="151">
        <v>1</v>
      </c>
      <c r="H99" s="151">
        <f t="shared" si="6"/>
        <v>0</v>
      </c>
      <c r="I99" s="112" t="s">
        <v>1076</v>
      </c>
      <c r="J99" s="152" t="s">
        <v>1077</v>
      </c>
      <c r="K99" s="152" t="s">
        <v>1078</v>
      </c>
      <c r="L99" s="152" t="s">
        <v>49</v>
      </c>
      <c r="M99" s="152" t="s">
        <v>939</v>
      </c>
      <c r="N99" s="153">
        <v>1</v>
      </c>
      <c r="O99" s="152"/>
    </row>
    <row r="100" spans="1:15" s="154" customFormat="1" ht="14.25" customHeight="1" x14ac:dyDescent="0.3">
      <c r="A100" s="125" t="s">
        <v>39</v>
      </c>
      <c r="B100" s="76" t="s">
        <v>61</v>
      </c>
      <c r="C100" s="6" t="s">
        <v>148</v>
      </c>
      <c r="D100" s="155" t="s">
        <v>513</v>
      </c>
      <c r="E100" s="256"/>
      <c r="F100" s="151">
        <v>1</v>
      </c>
      <c r="G100" s="151">
        <v>1</v>
      </c>
      <c r="H100" s="151">
        <f t="shared" si="6"/>
        <v>0</v>
      </c>
      <c r="I100" s="112" t="s">
        <v>1079</v>
      </c>
      <c r="J100" s="152" t="s">
        <v>1080</v>
      </c>
      <c r="K100" s="152" t="s">
        <v>1081</v>
      </c>
      <c r="L100" s="152" t="s">
        <v>49</v>
      </c>
      <c r="M100" s="152" t="s">
        <v>1017</v>
      </c>
      <c r="N100" s="153">
        <v>1</v>
      </c>
      <c r="O100" s="152"/>
    </row>
    <row r="101" spans="1:15" s="154" customFormat="1" ht="14.25" customHeight="1" x14ac:dyDescent="0.3">
      <c r="A101" s="125" t="s">
        <v>39</v>
      </c>
      <c r="B101" s="76" t="s">
        <v>61</v>
      </c>
      <c r="C101" s="6" t="s">
        <v>148</v>
      </c>
      <c r="D101" s="155" t="s">
        <v>513</v>
      </c>
      <c r="E101" s="256"/>
      <c r="F101" s="151">
        <v>1</v>
      </c>
      <c r="G101" s="151">
        <v>1</v>
      </c>
      <c r="H101" s="151">
        <f t="shared" si="6"/>
        <v>0</v>
      </c>
      <c r="I101" s="112" t="s">
        <v>1082</v>
      </c>
      <c r="J101" s="156" t="s">
        <v>1083</v>
      </c>
      <c r="K101" s="156" t="s">
        <v>1084</v>
      </c>
      <c r="L101" s="152" t="s">
        <v>49</v>
      </c>
      <c r="M101" s="152" t="s">
        <v>939</v>
      </c>
      <c r="N101" s="153">
        <v>1</v>
      </c>
      <c r="O101" s="152"/>
    </row>
    <row r="102" spans="1:15" s="154" customFormat="1" ht="14.25" customHeight="1" x14ac:dyDescent="0.3">
      <c r="A102" s="125" t="s">
        <v>39</v>
      </c>
      <c r="B102" s="76" t="s">
        <v>61</v>
      </c>
      <c r="C102" s="6" t="s">
        <v>148</v>
      </c>
      <c r="D102" s="28" t="s">
        <v>514</v>
      </c>
      <c r="E102" s="256" t="s">
        <v>1085</v>
      </c>
      <c r="F102" s="151">
        <v>1</v>
      </c>
      <c r="G102" s="151">
        <v>1</v>
      </c>
      <c r="H102" s="151">
        <f t="shared" si="6"/>
        <v>0</v>
      </c>
      <c r="I102" s="112" t="s">
        <v>1086</v>
      </c>
      <c r="J102" s="152" t="s">
        <v>1087</v>
      </c>
      <c r="K102" s="152" t="s">
        <v>1088</v>
      </c>
      <c r="L102" s="152" t="s">
        <v>49</v>
      </c>
      <c r="M102" s="152" t="s">
        <v>847</v>
      </c>
      <c r="N102" s="153">
        <v>1</v>
      </c>
      <c r="O102" s="152"/>
    </row>
    <row r="103" spans="1:15" s="154" customFormat="1" ht="14.25" customHeight="1" x14ac:dyDescent="0.3">
      <c r="A103" s="125" t="s">
        <v>39</v>
      </c>
      <c r="B103" s="76" t="s">
        <v>61</v>
      </c>
      <c r="C103" s="6" t="s">
        <v>148</v>
      </c>
      <c r="D103" s="155" t="s">
        <v>514</v>
      </c>
      <c r="E103" s="257"/>
      <c r="F103" s="151">
        <v>1</v>
      </c>
      <c r="G103" s="151">
        <v>1</v>
      </c>
      <c r="H103" s="151">
        <f t="shared" si="6"/>
        <v>0</v>
      </c>
      <c r="I103" s="112" t="s">
        <v>1089</v>
      </c>
      <c r="J103" s="152" t="s">
        <v>1090</v>
      </c>
      <c r="K103" s="152" t="s">
        <v>1091</v>
      </c>
      <c r="L103" s="152" t="s">
        <v>49</v>
      </c>
      <c r="M103" s="152" t="s">
        <v>847</v>
      </c>
      <c r="N103" s="153">
        <v>1</v>
      </c>
      <c r="O103" s="152"/>
    </row>
    <row r="104" spans="1:15" s="154" customFormat="1" ht="14.25" customHeight="1" x14ac:dyDescent="0.3">
      <c r="A104" s="125" t="s">
        <v>39</v>
      </c>
      <c r="B104" s="76" t="s">
        <v>61</v>
      </c>
      <c r="C104" s="6" t="s">
        <v>148</v>
      </c>
      <c r="D104" s="155" t="s">
        <v>514</v>
      </c>
      <c r="E104" s="257"/>
      <c r="F104" s="151">
        <v>1</v>
      </c>
      <c r="G104" s="151">
        <v>1</v>
      </c>
      <c r="H104" s="151">
        <f t="shared" si="6"/>
        <v>0</v>
      </c>
      <c r="I104" s="112" t="s">
        <v>1092</v>
      </c>
      <c r="J104" s="152" t="s">
        <v>1093</v>
      </c>
      <c r="K104" s="152" t="s">
        <v>1094</v>
      </c>
      <c r="L104" s="152" t="s">
        <v>49</v>
      </c>
      <c r="M104" s="152" t="s">
        <v>939</v>
      </c>
      <c r="N104" s="153">
        <v>1</v>
      </c>
      <c r="O104" s="152"/>
    </row>
    <row r="105" spans="1:15" s="154" customFormat="1" ht="14.25" customHeight="1" x14ac:dyDescent="0.3">
      <c r="A105" s="125" t="s">
        <v>39</v>
      </c>
      <c r="B105" s="76" t="s">
        <v>61</v>
      </c>
      <c r="C105" s="6" t="s">
        <v>148</v>
      </c>
      <c r="D105" s="28" t="s">
        <v>515</v>
      </c>
      <c r="E105" s="256" t="s">
        <v>1095</v>
      </c>
      <c r="F105" s="151">
        <v>1</v>
      </c>
      <c r="G105" s="151">
        <v>1</v>
      </c>
      <c r="H105" s="151">
        <f t="shared" si="6"/>
        <v>0</v>
      </c>
      <c r="I105" s="112" t="s">
        <v>1096</v>
      </c>
      <c r="J105" s="152" t="s">
        <v>1097</v>
      </c>
      <c r="K105" s="152" t="s">
        <v>1098</v>
      </c>
      <c r="L105" s="152" t="s">
        <v>49</v>
      </c>
      <c r="M105" s="152" t="s">
        <v>939</v>
      </c>
      <c r="N105" s="153">
        <v>1</v>
      </c>
      <c r="O105" s="152"/>
    </row>
    <row r="106" spans="1:15" s="154" customFormat="1" ht="14.25" customHeight="1" x14ac:dyDescent="0.3">
      <c r="A106" s="125" t="s">
        <v>39</v>
      </c>
      <c r="B106" s="76" t="s">
        <v>61</v>
      </c>
      <c r="C106" s="6" t="s">
        <v>148</v>
      </c>
      <c r="D106" s="155" t="s">
        <v>515</v>
      </c>
      <c r="E106" s="256"/>
      <c r="F106" s="151">
        <v>1</v>
      </c>
      <c r="G106" s="151">
        <v>1</v>
      </c>
      <c r="H106" s="151">
        <f t="shared" si="6"/>
        <v>0</v>
      </c>
      <c r="I106" s="112" t="s">
        <v>1099</v>
      </c>
      <c r="J106" s="152" t="s">
        <v>1100</v>
      </c>
      <c r="K106" s="152" t="s">
        <v>1098</v>
      </c>
      <c r="L106" s="152" t="s">
        <v>49</v>
      </c>
      <c r="M106" s="152" t="s">
        <v>939</v>
      </c>
      <c r="N106" s="153">
        <v>1</v>
      </c>
      <c r="O106" s="152"/>
    </row>
    <row r="107" spans="1:15" s="154" customFormat="1" ht="14.25" customHeight="1" x14ac:dyDescent="0.3">
      <c r="A107" s="125" t="s">
        <v>39</v>
      </c>
      <c r="B107" s="76" t="s">
        <v>61</v>
      </c>
      <c r="C107" s="6" t="s">
        <v>148</v>
      </c>
      <c r="D107" s="155" t="s">
        <v>515</v>
      </c>
      <c r="E107" s="256"/>
      <c r="F107" s="151">
        <v>1</v>
      </c>
      <c r="G107" s="151">
        <v>1</v>
      </c>
      <c r="H107" s="151">
        <f t="shared" si="6"/>
        <v>0</v>
      </c>
      <c r="I107" s="112" t="s">
        <v>1101</v>
      </c>
      <c r="J107" s="152" t="s">
        <v>1102</v>
      </c>
      <c r="K107" s="152" t="s">
        <v>1103</v>
      </c>
      <c r="L107" s="152" t="s">
        <v>49</v>
      </c>
      <c r="M107" s="152" t="s">
        <v>939</v>
      </c>
      <c r="N107" s="153">
        <v>1</v>
      </c>
      <c r="O107" s="152"/>
    </row>
    <row r="108" spans="1:15" s="154" customFormat="1" ht="14.25" customHeight="1" x14ac:dyDescent="0.3">
      <c r="A108" s="125" t="s">
        <v>39</v>
      </c>
      <c r="B108" s="76" t="s">
        <v>61</v>
      </c>
      <c r="C108" s="6" t="s">
        <v>148</v>
      </c>
      <c r="D108" s="28" t="s">
        <v>516</v>
      </c>
      <c r="E108" s="256" t="s">
        <v>1104</v>
      </c>
      <c r="F108" s="151">
        <v>1</v>
      </c>
      <c r="G108" s="151">
        <v>1</v>
      </c>
      <c r="H108" s="151">
        <f t="shared" si="6"/>
        <v>0</v>
      </c>
      <c r="I108" s="112" t="s">
        <v>1105</v>
      </c>
      <c r="J108" s="152" t="s">
        <v>1106</v>
      </c>
      <c r="K108" s="152" t="s">
        <v>1107</v>
      </c>
      <c r="L108" s="152" t="s">
        <v>49</v>
      </c>
      <c r="M108" s="152" t="s">
        <v>939</v>
      </c>
      <c r="N108" s="153">
        <v>1</v>
      </c>
      <c r="O108" s="152"/>
    </row>
    <row r="109" spans="1:15" s="154" customFormat="1" ht="14.25" customHeight="1" x14ac:dyDescent="0.3">
      <c r="A109" s="125" t="s">
        <v>39</v>
      </c>
      <c r="B109" s="76" t="s">
        <v>61</v>
      </c>
      <c r="C109" s="6" t="s">
        <v>148</v>
      </c>
      <c r="D109" s="155" t="s">
        <v>516</v>
      </c>
      <c r="E109" s="257"/>
      <c r="F109" s="151">
        <v>1</v>
      </c>
      <c r="G109" s="151">
        <v>1</v>
      </c>
      <c r="H109" s="151">
        <f t="shared" si="6"/>
        <v>0</v>
      </c>
      <c r="I109" s="112" t="s">
        <v>1108</v>
      </c>
      <c r="J109" s="152" t="s">
        <v>1109</v>
      </c>
      <c r="K109" s="152" t="s">
        <v>1110</v>
      </c>
      <c r="L109" s="152" t="s">
        <v>49</v>
      </c>
      <c r="M109" s="152" t="s">
        <v>1064</v>
      </c>
      <c r="N109" s="153">
        <v>1</v>
      </c>
      <c r="O109" s="152"/>
    </row>
    <row r="110" spans="1:15" s="154" customFormat="1" ht="14.25" customHeight="1" x14ac:dyDescent="0.3">
      <c r="A110" s="125" t="s">
        <v>39</v>
      </c>
      <c r="B110" s="76" t="s">
        <v>61</v>
      </c>
      <c r="C110" s="6" t="s">
        <v>148</v>
      </c>
      <c r="D110" s="155" t="s">
        <v>516</v>
      </c>
      <c r="E110" s="257"/>
      <c r="F110" s="151">
        <v>1</v>
      </c>
      <c r="G110" s="151">
        <v>1</v>
      </c>
      <c r="H110" s="151">
        <f t="shared" si="6"/>
        <v>0</v>
      </c>
      <c r="I110" s="112" t="s">
        <v>1111</v>
      </c>
      <c r="J110" s="152" t="s">
        <v>1112</v>
      </c>
      <c r="K110" s="152" t="s">
        <v>1113</v>
      </c>
      <c r="L110" s="152" t="s">
        <v>49</v>
      </c>
      <c r="M110" s="152" t="s">
        <v>833</v>
      </c>
      <c r="N110" s="153">
        <v>1</v>
      </c>
      <c r="O110" s="152"/>
    </row>
    <row r="111" spans="1:15" s="154" customFormat="1" ht="14.25" customHeight="1" x14ac:dyDescent="0.3">
      <c r="A111" s="125" t="s">
        <v>39</v>
      </c>
      <c r="B111" s="76" t="s">
        <v>61</v>
      </c>
      <c r="C111" s="6" t="s">
        <v>148</v>
      </c>
      <c r="D111" s="28" t="s">
        <v>517</v>
      </c>
      <c r="E111" s="256" t="s">
        <v>1114</v>
      </c>
      <c r="F111" s="151">
        <v>1</v>
      </c>
      <c r="G111" s="151">
        <v>1</v>
      </c>
      <c r="H111" s="151">
        <f t="shared" si="6"/>
        <v>0</v>
      </c>
      <c r="I111" s="112" t="s">
        <v>1115</v>
      </c>
      <c r="J111" s="152" t="s">
        <v>1116</v>
      </c>
      <c r="K111" s="152" t="s">
        <v>1117</v>
      </c>
      <c r="L111" s="152" t="s">
        <v>49</v>
      </c>
      <c r="M111" s="152" t="s">
        <v>939</v>
      </c>
      <c r="N111" s="153">
        <v>1</v>
      </c>
      <c r="O111" s="152"/>
    </row>
    <row r="112" spans="1:15" s="154" customFormat="1" ht="14.25" customHeight="1" x14ac:dyDescent="0.3">
      <c r="A112" s="125" t="s">
        <v>39</v>
      </c>
      <c r="B112" s="76" t="s">
        <v>61</v>
      </c>
      <c r="C112" s="6" t="s">
        <v>148</v>
      </c>
      <c r="D112" s="155" t="s">
        <v>517</v>
      </c>
      <c r="E112" s="257"/>
      <c r="F112" s="151">
        <v>1</v>
      </c>
      <c r="G112" s="151">
        <v>1</v>
      </c>
      <c r="H112" s="151">
        <f t="shared" si="6"/>
        <v>0</v>
      </c>
      <c r="I112" s="112" t="s">
        <v>1118</v>
      </c>
      <c r="J112" s="152" t="s">
        <v>1119</v>
      </c>
      <c r="K112" s="152" t="s">
        <v>1120</v>
      </c>
      <c r="L112" s="152" t="s">
        <v>49</v>
      </c>
      <c r="M112" s="152" t="s">
        <v>1121</v>
      </c>
      <c r="N112" s="153">
        <v>1</v>
      </c>
      <c r="O112" s="152"/>
    </row>
    <row r="113" spans="1:15" s="154" customFormat="1" ht="14.25" customHeight="1" x14ac:dyDescent="0.3">
      <c r="A113" s="125" t="s">
        <v>39</v>
      </c>
      <c r="B113" s="76" t="s">
        <v>61</v>
      </c>
      <c r="C113" s="6" t="s">
        <v>148</v>
      </c>
      <c r="D113" s="155" t="s">
        <v>517</v>
      </c>
      <c r="E113" s="257"/>
      <c r="F113" s="151">
        <v>1</v>
      </c>
      <c r="G113" s="151">
        <v>1</v>
      </c>
      <c r="H113" s="151">
        <f t="shared" si="6"/>
        <v>0</v>
      </c>
      <c r="I113" s="112" t="s">
        <v>1122</v>
      </c>
      <c r="J113" s="152" t="s">
        <v>1123</v>
      </c>
      <c r="K113" s="152" t="s">
        <v>1124</v>
      </c>
      <c r="L113" s="152" t="s">
        <v>49</v>
      </c>
      <c r="M113" s="152" t="s">
        <v>939</v>
      </c>
      <c r="N113" s="153">
        <v>1</v>
      </c>
      <c r="O113" s="152"/>
    </row>
    <row r="114" spans="1:15" s="154" customFormat="1" ht="14.25" customHeight="1" x14ac:dyDescent="0.3">
      <c r="A114" s="125" t="s">
        <v>39</v>
      </c>
      <c r="B114" s="76" t="s">
        <v>61</v>
      </c>
      <c r="C114" s="6" t="s">
        <v>148</v>
      </c>
      <c r="D114" s="28" t="s">
        <v>518</v>
      </c>
      <c r="E114" s="256" t="s">
        <v>1125</v>
      </c>
      <c r="F114" s="151">
        <v>1</v>
      </c>
      <c r="G114" s="151">
        <v>1</v>
      </c>
      <c r="H114" s="151">
        <f t="shared" si="6"/>
        <v>0</v>
      </c>
      <c r="I114" s="112" t="s">
        <v>1126</v>
      </c>
      <c r="J114" s="152" t="s">
        <v>1127</v>
      </c>
      <c r="K114" s="152" t="s">
        <v>1128</v>
      </c>
      <c r="L114" s="152" t="s">
        <v>49</v>
      </c>
      <c r="M114" s="152" t="s">
        <v>866</v>
      </c>
      <c r="N114" s="153">
        <v>1</v>
      </c>
      <c r="O114" s="152"/>
    </row>
    <row r="115" spans="1:15" s="154" customFormat="1" ht="14.25" customHeight="1" x14ac:dyDescent="0.3">
      <c r="A115" s="125" t="s">
        <v>39</v>
      </c>
      <c r="B115" s="76" t="s">
        <v>61</v>
      </c>
      <c r="C115" s="6" t="s">
        <v>148</v>
      </c>
      <c r="D115" s="155" t="s">
        <v>518</v>
      </c>
      <c r="E115" s="257"/>
      <c r="F115" s="151">
        <v>1</v>
      </c>
      <c r="G115" s="151">
        <v>1</v>
      </c>
      <c r="H115" s="151">
        <f t="shared" si="6"/>
        <v>0</v>
      </c>
      <c r="I115" s="112" t="s">
        <v>1129</v>
      </c>
      <c r="J115" s="152" t="s">
        <v>1130</v>
      </c>
      <c r="K115" s="152" t="s">
        <v>964</v>
      </c>
      <c r="L115" s="152" t="s">
        <v>49</v>
      </c>
      <c r="M115" s="152" t="s">
        <v>847</v>
      </c>
      <c r="N115" s="153">
        <v>1</v>
      </c>
      <c r="O115" s="152"/>
    </row>
    <row r="116" spans="1:15" s="154" customFormat="1" ht="14.25" customHeight="1" x14ac:dyDescent="0.3">
      <c r="A116" s="125" t="s">
        <v>39</v>
      </c>
      <c r="B116" s="76" t="s">
        <v>61</v>
      </c>
      <c r="C116" s="6" t="s">
        <v>148</v>
      </c>
      <c r="D116" s="155" t="s">
        <v>518</v>
      </c>
      <c r="E116" s="257"/>
      <c r="F116" s="151">
        <v>1</v>
      </c>
      <c r="G116" s="151">
        <v>1</v>
      </c>
      <c r="H116" s="151">
        <f t="shared" si="6"/>
        <v>0</v>
      </c>
      <c r="I116" s="112" t="s">
        <v>1131</v>
      </c>
      <c r="J116" s="152" t="s">
        <v>1132</v>
      </c>
      <c r="K116" s="152" t="s">
        <v>1133</v>
      </c>
      <c r="L116" s="152" t="s">
        <v>49</v>
      </c>
      <c r="M116" s="152" t="s">
        <v>866</v>
      </c>
      <c r="N116" s="153">
        <v>1</v>
      </c>
      <c r="O116" s="152"/>
    </row>
    <row r="117" spans="1:15" s="154" customFormat="1" ht="14.25" customHeight="1" x14ac:dyDescent="0.3">
      <c r="A117" s="125" t="s">
        <v>39</v>
      </c>
      <c r="B117" s="76" t="s">
        <v>61</v>
      </c>
      <c r="C117" s="6" t="s">
        <v>148</v>
      </c>
      <c r="D117" s="28" t="s">
        <v>519</v>
      </c>
      <c r="E117" s="256" t="s">
        <v>1134</v>
      </c>
      <c r="F117" s="151">
        <v>1</v>
      </c>
      <c r="G117" s="151">
        <v>1</v>
      </c>
      <c r="H117" s="151">
        <f t="shared" si="6"/>
        <v>0</v>
      </c>
      <c r="I117" s="112" t="s">
        <v>1135</v>
      </c>
      <c r="J117" s="152" t="s">
        <v>1136</v>
      </c>
      <c r="K117" s="152" t="s">
        <v>1137</v>
      </c>
      <c r="L117" s="152" t="s">
        <v>49</v>
      </c>
      <c r="M117" s="152" t="s">
        <v>847</v>
      </c>
      <c r="N117" s="153">
        <v>1</v>
      </c>
      <c r="O117" s="152"/>
    </row>
    <row r="118" spans="1:15" s="154" customFormat="1" ht="14.25" customHeight="1" x14ac:dyDescent="0.3">
      <c r="A118" s="125" t="s">
        <v>39</v>
      </c>
      <c r="B118" s="76" t="s">
        <v>61</v>
      </c>
      <c r="C118" s="6" t="s">
        <v>148</v>
      </c>
      <c r="D118" s="155" t="s">
        <v>519</v>
      </c>
      <c r="E118" s="257"/>
      <c r="F118" s="151">
        <v>1</v>
      </c>
      <c r="G118" s="151">
        <v>1</v>
      </c>
      <c r="H118" s="151">
        <f t="shared" si="6"/>
        <v>0</v>
      </c>
      <c r="I118" s="157"/>
      <c r="J118" s="157" t="s">
        <v>1138</v>
      </c>
      <c r="K118" s="152"/>
      <c r="L118" s="152"/>
      <c r="M118" s="152" t="s">
        <v>1139</v>
      </c>
      <c r="N118" s="153">
        <v>1</v>
      </c>
      <c r="O118" s="152"/>
    </row>
    <row r="119" spans="1:15" s="154" customFormat="1" ht="14.25" customHeight="1" x14ac:dyDescent="0.3">
      <c r="A119" s="125" t="s">
        <v>39</v>
      </c>
      <c r="B119" s="76" t="s">
        <v>61</v>
      </c>
      <c r="C119" s="6" t="s">
        <v>148</v>
      </c>
      <c r="D119" s="155" t="s">
        <v>519</v>
      </c>
      <c r="E119" s="257"/>
      <c r="F119" s="151">
        <v>1</v>
      </c>
      <c r="G119" s="151">
        <v>1</v>
      </c>
      <c r="H119" s="151">
        <f t="shared" si="6"/>
        <v>0</v>
      </c>
      <c r="I119" s="112" t="s">
        <v>1140</v>
      </c>
      <c r="J119" s="152" t="s">
        <v>1141</v>
      </c>
      <c r="K119" s="152" t="s">
        <v>1142</v>
      </c>
      <c r="L119" s="152" t="s">
        <v>49</v>
      </c>
      <c r="M119" s="152" t="s">
        <v>1143</v>
      </c>
      <c r="N119" s="153">
        <v>1</v>
      </c>
      <c r="O119" s="152"/>
    </row>
    <row r="120" spans="1:15" s="154" customFormat="1" ht="14.25" customHeight="1" x14ac:dyDescent="0.3">
      <c r="A120" s="125" t="s">
        <v>39</v>
      </c>
      <c r="B120" s="76" t="s">
        <v>61</v>
      </c>
      <c r="C120" s="6" t="s">
        <v>148</v>
      </c>
      <c r="D120" s="28" t="s">
        <v>520</v>
      </c>
      <c r="E120" s="256" t="s">
        <v>1144</v>
      </c>
      <c r="F120" s="151">
        <v>1</v>
      </c>
      <c r="G120" s="151">
        <v>1</v>
      </c>
      <c r="H120" s="151">
        <f t="shared" si="6"/>
        <v>0</v>
      </c>
      <c r="I120" s="112" t="s">
        <v>1145</v>
      </c>
      <c r="J120" s="152" t="s">
        <v>1146</v>
      </c>
      <c r="K120" s="152" t="s">
        <v>1147</v>
      </c>
      <c r="L120" s="152" t="s">
        <v>49</v>
      </c>
      <c r="M120" s="152" t="s">
        <v>939</v>
      </c>
      <c r="N120" s="153">
        <v>1</v>
      </c>
      <c r="O120" s="152"/>
    </row>
    <row r="121" spans="1:15" s="154" customFormat="1" ht="14.25" customHeight="1" x14ac:dyDescent="0.3">
      <c r="A121" s="125" t="s">
        <v>39</v>
      </c>
      <c r="B121" s="76" t="s">
        <v>61</v>
      </c>
      <c r="C121" s="6" t="s">
        <v>148</v>
      </c>
      <c r="D121" s="155" t="s">
        <v>520</v>
      </c>
      <c r="E121" s="257"/>
      <c r="F121" s="151">
        <v>1</v>
      </c>
      <c r="G121" s="151">
        <v>1</v>
      </c>
      <c r="H121" s="151">
        <f t="shared" si="6"/>
        <v>0</v>
      </c>
      <c r="I121" s="157"/>
      <c r="J121" s="157" t="s">
        <v>1148</v>
      </c>
      <c r="K121" s="152"/>
      <c r="L121" s="152"/>
      <c r="M121" s="152" t="s">
        <v>1072</v>
      </c>
      <c r="N121" s="153">
        <v>1</v>
      </c>
      <c r="O121" s="152"/>
    </row>
    <row r="122" spans="1:15" s="154" customFormat="1" ht="14.25" customHeight="1" x14ac:dyDescent="0.3">
      <c r="A122" s="125" t="s">
        <v>39</v>
      </c>
      <c r="B122" s="76" t="s">
        <v>61</v>
      </c>
      <c r="C122" s="6" t="s">
        <v>148</v>
      </c>
      <c r="D122" s="155" t="s">
        <v>520</v>
      </c>
      <c r="E122" s="257"/>
      <c r="F122" s="151">
        <v>1</v>
      </c>
      <c r="G122" s="151">
        <v>1</v>
      </c>
      <c r="H122" s="151">
        <f t="shared" si="6"/>
        <v>0</v>
      </c>
      <c r="I122" s="112" t="s">
        <v>1149</v>
      </c>
      <c r="J122" s="152" t="s">
        <v>1150</v>
      </c>
      <c r="K122" s="152" t="s">
        <v>1151</v>
      </c>
      <c r="L122" s="152" t="s">
        <v>49</v>
      </c>
      <c r="M122" s="152" t="s">
        <v>996</v>
      </c>
      <c r="N122" s="153">
        <v>1</v>
      </c>
      <c r="O122" s="152"/>
    </row>
    <row r="123" spans="1:15" ht="14.25" customHeight="1" x14ac:dyDescent="0.3">
      <c r="A123" s="125" t="s">
        <v>39</v>
      </c>
      <c r="B123" s="76" t="s">
        <v>33</v>
      </c>
      <c r="C123" s="6" t="s">
        <v>153</v>
      </c>
      <c r="D123" s="28" t="s">
        <v>521</v>
      </c>
      <c r="E123" s="104" t="s">
        <v>867</v>
      </c>
      <c r="F123" s="104">
        <v>1</v>
      </c>
      <c r="G123" s="104">
        <v>1</v>
      </c>
      <c r="H123" s="104">
        <f>F123 -G123</f>
        <v>0</v>
      </c>
      <c r="I123" s="112" t="s">
        <v>1152</v>
      </c>
      <c r="J123" s="125" t="s">
        <v>1153</v>
      </c>
      <c r="K123" s="125" t="s">
        <v>1154</v>
      </c>
      <c r="L123" s="102" t="s">
        <v>52</v>
      </c>
      <c r="M123" s="102" t="s">
        <v>939</v>
      </c>
      <c r="N123" s="147">
        <v>1</v>
      </c>
      <c r="O123" s="102"/>
    </row>
    <row r="124" spans="1:15" ht="14.25" customHeight="1" x14ac:dyDescent="0.3">
      <c r="A124" s="125" t="s">
        <v>39</v>
      </c>
      <c r="B124" s="76" t="s">
        <v>33</v>
      </c>
      <c r="C124" s="6" t="s">
        <v>153</v>
      </c>
      <c r="D124" s="28" t="s">
        <v>522</v>
      </c>
      <c r="E124" s="104" t="s">
        <v>871</v>
      </c>
      <c r="F124" s="104">
        <v>1</v>
      </c>
      <c r="G124" s="104">
        <v>1</v>
      </c>
      <c r="H124" s="104">
        <f t="shared" ref="H124:H138" si="7">F124 -G124</f>
        <v>0</v>
      </c>
      <c r="I124" s="112" t="s">
        <v>1155</v>
      </c>
      <c r="J124" s="125" t="s">
        <v>1156</v>
      </c>
      <c r="K124" s="125" t="s">
        <v>1157</v>
      </c>
      <c r="L124" s="102" t="s">
        <v>52</v>
      </c>
      <c r="M124" s="102" t="s">
        <v>895</v>
      </c>
      <c r="N124" s="147">
        <v>1</v>
      </c>
      <c r="O124" s="102"/>
    </row>
    <row r="125" spans="1:15" ht="14.25" customHeight="1" x14ac:dyDescent="0.3">
      <c r="A125" s="125" t="s">
        <v>39</v>
      </c>
      <c r="B125" s="76" t="s">
        <v>33</v>
      </c>
      <c r="C125" s="6" t="s">
        <v>153</v>
      </c>
      <c r="D125" s="28" t="s">
        <v>523</v>
      </c>
      <c r="E125" s="104" t="s">
        <v>1158</v>
      </c>
      <c r="F125" s="104">
        <v>1</v>
      </c>
      <c r="G125" s="104">
        <v>1</v>
      </c>
      <c r="H125" s="104">
        <f t="shared" si="7"/>
        <v>0</v>
      </c>
      <c r="I125" s="112" t="s">
        <v>1159</v>
      </c>
      <c r="J125" s="125" t="s">
        <v>1160</v>
      </c>
      <c r="K125" s="125" t="s">
        <v>1161</v>
      </c>
      <c r="L125" s="102" t="s">
        <v>52</v>
      </c>
      <c r="M125" s="102" t="s">
        <v>1162</v>
      </c>
      <c r="N125" s="147">
        <v>1</v>
      </c>
      <c r="O125" s="102"/>
    </row>
    <row r="126" spans="1:15" ht="14.25" customHeight="1" x14ac:dyDescent="0.3">
      <c r="A126" s="125" t="s">
        <v>39</v>
      </c>
      <c r="B126" s="76" t="s">
        <v>33</v>
      </c>
      <c r="C126" s="6" t="s">
        <v>153</v>
      </c>
      <c r="D126" s="28" t="s">
        <v>524</v>
      </c>
      <c r="E126" s="104" t="s">
        <v>1163</v>
      </c>
      <c r="F126" s="104">
        <v>1</v>
      </c>
      <c r="G126" s="104">
        <v>1</v>
      </c>
      <c r="H126" s="104">
        <f t="shared" si="7"/>
        <v>0</v>
      </c>
      <c r="I126" s="112" t="s">
        <v>1164</v>
      </c>
      <c r="J126" s="125" t="s">
        <v>1165</v>
      </c>
      <c r="K126" s="125" t="s">
        <v>1166</v>
      </c>
      <c r="L126" s="102" t="s">
        <v>52</v>
      </c>
      <c r="M126" s="102" t="s">
        <v>833</v>
      </c>
      <c r="N126" s="147">
        <v>1</v>
      </c>
      <c r="O126" s="102"/>
    </row>
    <row r="127" spans="1:15" ht="14.25" customHeight="1" x14ac:dyDescent="0.3">
      <c r="A127" s="125" t="s">
        <v>39</v>
      </c>
      <c r="B127" s="76" t="s">
        <v>33</v>
      </c>
      <c r="C127" s="6" t="s">
        <v>153</v>
      </c>
      <c r="D127" s="28" t="s">
        <v>525</v>
      </c>
      <c r="E127" s="104" t="s">
        <v>1167</v>
      </c>
      <c r="F127" s="104">
        <v>1</v>
      </c>
      <c r="G127" s="104">
        <v>1</v>
      </c>
      <c r="H127" s="104">
        <f t="shared" si="7"/>
        <v>0</v>
      </c>
      <c r="I127" s="112" t="s">
        <v>1168</v>
      </c>
      <c r="J127" s="125" t="s">
        <v>1169</v>
      </c>
      <c r="K127" s="125" t="s">
        <v>1170</v>
      </c>
      <c r="L127" s="102" t="s">
        <v>52</v>
      </c>
      <c r="M127" s="102" t="s">
        <v>939</v>
      </c>
      <c r="N127" s="147">
        <v>1</v>
      </c>
      <c r="O127" s="102"/>
    </row>
    <row r="128" spans="1:15" ht="14.25" customHeight="1" x14ac:dyDescent="0.3">
      <c r="A128" s="125" t="s">
        <v>39</v>
      </c>
      <c r="B128" s="76" t="s">
        <v>33</v>
      </c>
      <c r="C128" s="6" t="s">
        <v>153</v>
      </c>
      <c r="D128" s="28" t="s">
        <v>526</v>
      </c>
      <c r="E128" s="104" t="s">
        <v>1171</v>
      </c>
      <c r="F128" s="104">
        <v>1</v>
      </c>
      <c r="G128" s="104">
        <v>1</v>
      </c>
      <c r="H128" s="104">
        <f t="shared" si="7"/>
        <v>0</v>
      </c>
      <c r="I128" s="112" t="s">
        <v>1172</v>
      </c>
      <c r="J128" s="125" t="s">
        <v>1173</v>
      </c>
      <c r="K128" s="125" t="s">
        <v>1174</v>
      </c>
      <c r="L128" s="102" t="s">
        <v>52</v>
      </c>
      <c r="M128" s="102" t="s">
        <v>996</v>
      </c>
      <c r="N128" s="147">
        <v>1</v>
      </c>
      <c r="O128" s="102"/>
    </row>
    <row r="129" spans="1:15" ht="14.25" customHeight="1" x14ac:dyDescent="0.3">
      <c r="A129" s="125" t="s">
        <v>39</v>
      </c>
      <c r="B129" s="76" t="s">
        <v>33</v>
      </c>
      <c r="C129" s="6" t="s">
        <v>153</v>
      </c>
      <c r="D129" s="28" t="s">
        <v>527</v>
      </c>
      <c r="E129" s="104" t="s">
        <v>1175</v>
      </c>
      <c r="F129" s="104">
        <v>1</v>
      </c>
      <c r="G129" s="104">
        <v>1</v>
      </c>
      <c r="H129" s="104">
        <f t="shared" si="7"/>
        <v>0</v>
      </c>
      <c r="I129" s="112" t="s">
        <v>1176</v>
      </c>
      <c r="J129" s="125" t="s">
        <v>1177</v>
      </c>
      <c r="K129" s="125" t="s">
        <v>1178</v>
      </c>
      <c r="L129" s="102" t="s">
        <v>52</v>
      </c>
      <c r="M129" s="102" t="s">
        <v>939</v>
      </c>
      <c r="N129" s="147">
        <v>1</v>
      </c>
      <c r="O129" s="102"/>
    </row>
    <row r="130" spans="1:15" ht="14.25" customHeight="1" x14ac:dyDescent="0.3">
      <c r="A130" s="125" t="s">
        <v>39</v>
      </c>
      <c r="B130" s="76" t="s">
        <v>33</v>
      </c>
      <c r="C130" s="6" t="s">
        <v>153</v>
      </c>
      <c r="D130" s="28" t="s">
        <v>528</v>
      </c>
      <c r="E130" s="104" t="s">
        <v>1179</v>
      </c>
      <c r="F130" s="104">
        <v>1</v>
      </c>
      <c r="G130" s="104">
        <v>1</v>
      </c>
      <c r="H130" s="104">
        <f t="shared" si="7"/>
        <v>0</v>
      </c>
      <c r="I130" s="112" t="s">
        <v>1180</v>
      </c>
      <c r="J130" s="125" t="s">
        <v>1181</v>
      </c>
      <c r="K130" s="125" t="s">
        <v>1182</v>
      </c>
      <c r="L130" s="102" t="s">
        <v>52</v>
      </c>
      <c r="M130" s="102" t="s">
        <v>847</v>
      </c>
      <c r="N130" s="147">
        <v>1</v>
      </c>
      <c r="O130" s="102"/>
    </row>
    <row r="131" spans="1:15" ht="14.25" customHeight="1" x14ac:dyDescent="0.3">
      <c r="A131" s="125" t="s">
        <v>39</v>
      </c>
      <c r="B131" s="76" t="s">
        <v>33</v>
      </c>
      <c r="C131" s="6" t="s">
        <v>153</v>
      </c>
      <c r="D131" s="28" t="s">
        <v>529</v>
      </c>
      <c r="E131" s="104" t="s">
        <v>1183</v>
      </c>
      <c r="F131" s="104">
        <v>1</v>
      </c>
      <c r="G131" s="104">
        <v>1</v>
      </c>
      <c r="H131" s="104">
        <f t="shared" si="7"/>
        <v>0</v>
      </c>
      <c r="I131" s="112" t="s">
        <v>1184</v>
      </c>
      <c r="J131" s="125" t="s">
        <v>1185</v>
      </c>
      <c r="K131" s="125" t="s">
        <v>1186</v>
      </c>
      <c r="L131" s="102" t="s">
        <v>52</v>
      </c>
      <c r="M131" s="102" t="s">
        <v>847</v>
      </c>
      <c r="N131" s="147">
        <v>1</v>
      </c>
      <c r="O131" s="102"/>
    </row>
    <row r="132" spans="1:15" ht="14.25" customHeight="1" x14ac:dyDescent="0.3">
      <c r="A132" s="125" t="s">
        <v>39</v>
      </c>
      <c r="B132" s="76" t="s">
        <v>33</v>
      </c>
      <c r="C132" s="6" t="s">
        <v>153</v>
      </c>
      <c r="D132" s="28" t="s">
        <v>530</v>
      </c>
      <c r="E132" s="104" t="s">
        <v>1187</v>
      </c>
      <c r="F132" s="104">
        <v>1</v>
      </c>
      <c r="G132" s="104">
        <v>1</v>
      </c>
      <c r="H132" s="104">
        <f t="shared" si="7"/>
        <v>0</v>
      </c>
      <c r="I132" s="112" t="s">
        <v>1188</v>
      </c>
      <c r="J132" s="125" t="s">
        <v>1189</v>
      </c>
      <c r="K132" s="125" t="s">
        <v>1190</v>
      </c>
      <c r="L132" s="102" t="s">
        <v>49</v>
      </c>
      <c r="M132" s="102" t="s">
        <v>1191</v>
      </c>
      <c r="N132" s="147">
        <v>1</v>
      </c>
      <c r="O132" s="102"/>
    </row>
    <row r="133" spans="1:15" ht="14.25" customHeight="1" x14ac:dyDescent="0.3">
      <c r="A133" s="125" t="s">
        <v>39</v>
      </c>
      <c r="B133" s="76" t="s">
        <v>33</v>
      </c>
      <c r="C133" s="6" t="s">
        <v>153</v>
      </c>
      <c r="D133" s="28" t="s">
        <v>531</v>
      </c>
      <c r="E133" s="104" t="s">
        <v>1192</v>
      </c>
      <c r="F133" s="104">
        <v>1</v>
      </c>
      <c r="G133" s="104">
        <v>1</v>
      </c>
      <c r="H133" s="104">
        <f t="shared" si="7"/>
        <v>0</v>
      </c>
      <c r="I133" s="112" t="s">
        <v>1193</v>
      </c>
      <c r="J133" s="125" t="s">
        <v>1194</v>
      </c>
      <c r="K133" s="125" t="s">
        <v>1195</v>
      </c>
      <c r="L133" s="102" t="s">
        <v>52</v>
      </c>
      <c r="M133" s="102" t="s">
        <v>866</v>
      </c>
      <c r="N133" s="147">
        <v>1</v>
      </c>
      <c r="O133" s="102"/>
    </row>
    <row r="134" spans="1:15" ht="14.25" customHeight="1" x14ac:dyDescent="0.3">
      <c r="A134" s="125" t="s">
        <v>39</v>
      </c>
      <c r="B134" s="76" t="s">
        <v>33</v>
      </c>
      <c r="C134" s="6" t="s">
        <v>153</v>
      </c>
      <c r="D134" s="28" t="s">
        <v>532</v>
      </c>
      <c r="E134" s="104" t="s">
        <v>1196</v>
      </c>
      <c r="F134" s="104">
        <v>1</v>
      </c>
      <c r="G134" s="104">
        <v>1</v>
      </c>
      <c r="H134" s="104">
        <f t="shared" si="7"/>
        <v>0</v>
      </c>
      <c r="I134" s="112" t="s">
        <v>1197</v>
      </c>
      <c r="J134" s="125" t="s">
        <v>1198</v>
      </c>
      <c r="K134" s="125" t="s">
        <v>1199</v>
      </c>
      <c r="L134" s="102" t="s">
        <v>49</v>
      </c>
      <c r="M134" s="102" t="s">
        <v>866</v>
      </c>
      <c r="N134" s="147">
        <v>1</v>
      </c>
      <c r="O134" s="102"/>
    </row>
    <row r="135" spans="1:15" ht="14.25" customHeight="1" x14ac:dyDescent="0.3">
      <c r="A135" s="125" t="s">
        <v>39</v>
      </c>
      <c r="B135" s="76" t="s">
        <v>33</v>
      </c>
      <c r="C135" s="6" t="s">
        <v>153</v>
      </c>
      <c r="D135" s="28" t="s">
        <v>533</v>
      </c>
      <c r="E135" s="104" t="s">
        <v>1200</v>
      </c>
      <c r="F135" s="104">
        <v>1</v>
      </c>
      <c r="G135" s="104">
        <v>1</v>
      </c>
      <c r="H135" s="104">
        <f t="shared" si="7"/>
        <v>0</v>
      </c>
      <c r="I135" s="112" t="s">
        <v>1201</v>
      </c>
      <c r="J135" s="125" t="s">
        <v>1202</v>
      </c>
      <c r="K135" s="125" t="s">
        <v>1203</v>
      </c>
      <c r="L135" s="102" t="s">
        <v>52</v>
      </c>
      <c r="M135" s="102" t="s">
        <v>1017</v>
      </c>
      <c r="N135" s="147">
        <v>1</v>
      </c>
      <c r="O135" s="102"/>
    </row>
    <row r="136" spans="1:15" ht="14.25" customHeight="1" x14ac:dyDescent="0.3">
      <c r="A136" s="125" t="s">
        <v>39</v>
      </c>
      <c r="B136" s="76" t="s">
        <v>33</v>
      </c>
      <c r="C136" s="6" t="s">
        <v>153</v>
      </c>
      <c r="D136" s="28" t="s">
        <v>534</v>
      </c>
      <c r="E136" s="104" t="s">
        <v>1204</v>
      </c>
      <c r="F136" s="104">
        <v>1</v>
      </c>
      <c r="G136" s="104">
        <v>1</v>
      </c>
      <c r="H136" s="104">
        <f t="shared" si="7"/>
        <v>0</v>
      </c>
      <c r="I136" s="112" t="s">
        <v>1205</v>
      </c>
      <c r="J136" s="125" t="s">
        <v>1206</v>
      </c>
      <c r="K136" s="125" t="s">
        <v>1207</v>
      </c>
      <c r="L136" s="102" t="s">
        <v>52</v>
      </c>
      <c r="M136" s="102" t="s">
        <v>1191</v>
      </c>
      <c r="N136" s="147">
        <v>1</v>
      </c>
      <c r="O136" s="102"/>
    </row>
    <row r="137" spans="1:15" ht="14.25" customHeight="1" x14ac:dyDescent="0.3">
      <c r="A137" s="125" t="s">
        <v>39</v>
      </c>
      <c r="B137" s="76" t="s">
        <v>33</v>
      </c>
      <c r="C137" s="6" t="s">
        <v>153</v>
      </c>
      <c r="D137" s="28" t="s">
        <v>535</v>
      </c>
      <c r="E137" s="104" t="s">
        <v>1208</v>
      </c>
      <c r="F137" s="104">
        <v>1</v>
      </c>
      <c r="G137" s="104">
        <v>1</v>
      </c>
      <c r="H137" s="104">
        <f t="shared" si="7"/>
        <v>0</v>
      </c>
      <c r="I137" s="112" t="s">
        <v>1209</v>
      </c>
      <c r="J137" s="125" t="s">
        <v>1210</v>
      </c>
      <c r="K137" s="125" t="s">
        <v>1211</v>
      </c>
      <c r="L137" s="102" t="s">
        <v>52</v>
      </c>
      <c r="M137" s="102" t="s">
        <v>1064</v>
      </c>
      <c r="N137" s="147">
        <v>1</v>
      </c>
      <c r="O137" s="102"/>
    </row>
    <row r="138" spans="1:15" ht="14.25" customHeight="1" x14ac:dyDescent="0.3">
      <c r="A138" s="125" t="s">
        <v>39</v>
      </c>
      <c r="B138" s="76" t="s">
        <v>33</v>
      </c>
      <c r="C138" s="6" t="s">
        <v>153</v>
      </c>
      <c r="D138" s="28" t="s">
        <v>536</v>
      </c>
      <c r="E138" s="104" t="s">
        <v>1212</v>
      </c>
      <c r="F138" s="104">
        <v>1</v>
      </c>
      <c r="G138" s="104">
        <v>1</v>
      </c>
      <c r="H138" s="104">
        <f t="shared" si="7"/>
        <v>0</v>
      </c>
      <c r="I138" s="112" t="s">
        <v>1213</v>
      </c>
      <c r="J138" s="125" t="s">
        <v>1214</v>
      </c>
      <c r="K138" s="125" t="s">
        <v>1215</v>
      </c>
      <c r="L138" s="102" t="s">
        <v>52</v>
      </c>
      <c r="M138" s="102" t="s">
        <v>1216</v>
      </c>
      <c r="N138" s="147">
        <v>1</v>
      </c>
      <c r="O138" s="102"/>
    </row>
    <row r="139" spans="1:15" ht="14.25" customHeight="1" x14ac:dyDescent="0.3">
      <c r="A139" s="125" t="s">
        <v>39</v>
      </c>
      <c r="B139" s="76" t="s">
        <v>34</v>
      </c>
      <c r="C139" s="6" t="s">
        <v>154</v>
      </c>
      <c r="D139" s="28" t="s">
        <v>537</v>
      </c>
      <c r="E139" s="248" t="s">
        <v>876</v>
      </c>
      <c r="F139" s="104">
        <v>1</v>
      </c>
      <c r="G139" s="104">
        <v>1</v>
      </c>
      <c r="H139" s="104">
        <f>F139-G139</f>
        <v>0</v>
      </c>
      <c r="I139" s="112" t="s">
        <v>1217</v>
      </c>
      <c r="J139" s="146" t="s">
        <v>1218</v>
      </c>
      <c r="K139" s="146" t="s">
        <v>1219</v>
      </c>
      <c r="L139" s="147" t="s">
        <v>49</v>
      </c>
      <c r="M139" s="102" t="s">
        <v>1052</v>
      </c>
      <c r="N139" s="147">
        <v>1</v>
      </c>
      <c r="O139" s="102"/>
    </row>
    <row r="140" spans="1:15" ht="14.25" customHeight="1" x14ac:dyDescent="0.3">
      <c r="A140" s="125" t="s">
        <v>39</v>
      </c>
      <c r="B140" s="76" t="s">
        <v>34</v>
      </c>
      <c r="C140" s="6" t="s">
        <v>154</v>
      </c>
      <c r="D140" s="158" t="s">
        <v>537</v>
      </c>
      <c r="E140" s="250"/>
      <c r="F140" s="104">
        <v>1</v>
      </c>
      <c r="G140" s="104">
        <v>1</v>
      </c>
      <c r="H140" s="104">
        <f>F140-G140</f>
        <v>0</v>
      </c>
      <c r="I140" s="149" t="s">
        <v>1197</v>
      </c>
      <c r="J140" s="149" t="s">
        <v>1198</v>
      </c>
      <c r="K140" s="149" t="s">
        <v>1199</v>
      </c>
      <c r="L140" s="159" t="s">
        <v>49</v>
      </c>
      <c r="M140" s="160" t="s">
        <v>866</v>
      </c>
      <c r="N140" s="147">
        <v>1</v>
      </c>
      <c r="O140" s="102"/>
    </row>
    <row r="141" spans="1:15" ht="14.25" customHeight="1" x14ac:dyDescent="0.3">
      <c r="A141" s="125" t="s">
        <v>39</v>
      </c>
      <c r="B141" s="76" t="s">
        <v>34</v>
      </c>
      <c r="C141" s="6" t="s">
        <v>154</v>
      </c>
      <c r="D141" s="28" t="s">
        <v>538</v>
      </c>
      <c r="E141" s="248" t="s">
        <v>877</v>
      </c>
      <c r="F141" s="104">
        <v>1</v>
      </c>
      <c r="G141" s="104">
        <v>1</v>
      </c>
      <c r="H141" s="104">
        <f t="shared" ref="H141:H178" si="8">F141-G141</f>
        <v>0</v>
      </c>
      <c r="I141" s="149"/>
      <c r="J141" s="149" t="s">
        <v>1220</v>
      </c>
      <c r="K141" s="161"/>
      <c r="L141" s="147"/>
      <c r="M141" s="102"/>
      <c r="N141" s="147">
        <v>1</v>
      </c>
      <c r="O141" s="102"/>
    </row>
    <row r="142" spans="1:15" ht="14.25" customHeight="1" x14ac:dyDescent="0.3">
      <c r="A142" s="125" t="s">
        <v>39</v>
      </c>
      <c r="B142" s="76" t="s">
        <v>34</v>
      </c>
      <c r="C142" s="6" t="s">
        <v>154</v>
      </c>
      <c r="D142" s="158" t="s">
        <v>538</v>
      </c>
      <c r="E142" s="250"/>
      <c r="F142" s="104">
        <v>1</v>
      </c>
      <c r="G142" s="104">
        <v>1</v>
      </c>
      <c r="H142" s="104">
        <f t="shared" si="8"/>
        <v>0</v>
      </c>
      <c r="I142" s="112" t="s">
        <v>1221</v>
      </c>
      <c r="J142" s="146" t="s">
        <v>1222</v>
      </c>
      <c r="K142" s="146" t="s">
        <v>1223</v>
      </c>
      <c r="L142" s="147" t="s">
        <v>49</v>
      </c>
      <c r="M142" s="102" t="s">
        <v>939</v>
      </c>
      <c r="N142" s="147">
        <v>1</v>
      </c>
      <c r="O142" s="102"/>
    </row>
    <row r="143" spans="1:15" ht="14.25" customHeight="1" x14ac:dyDescent="0.3">
      <c r="A143" s="125" t="s">
        <v>39</v>
      </c>
      <c r="B143" s="76" t="s">
        <v>34</v>
      </c>
      <c r="C143" s="6" t="s">
        <v>154</v>
      </c>
      <c r="D143" s="28" t="s">
        <v>539</v>
      </c>
      <c r="E143" s="248" t="s">
        <v>1224</v>
      </c>
      <c r="F143" s="104">
        <v>1</v>
      </c>
      <c r="G143" s="104">
        <v>1</v>
      </c>
      <c r="H143" s="104">
        <f t="shared" si="8"/>
        <v>0</v>
      </c>
      <c r="I143" s="112" t="s">
        <v>1225</v>
      </c>
      <c r="J143" s="146" t="s">
        <v>1226</v>
      </c>
      <c r="K143" s="146" t="s">
        <v>1227</v>
      </c>
      <c r="L143" s="147" t="s">
        <v>49</v>
      </c>
      <c r="M143" s="102" t="s">
        <v>866</v>
      </c>
      <c r="N143" s="147">
        <v>1</v>
      </c>
      <c r="O143" s="102"/>
    </row>
    <row r="144" spans="1:15" ht="14.25" customHeight="1" x14ac:dyDescent="0.3">
      <c r="A144" s="125" t="s">
        <v>39</v>
      </c>
      <c r="B144" s="76" t="s">
        <v>34</v>
      </c>
      <c r="C144" s="6" t="s">
        <v>154</v>
      </c>
      <c r="D144" s="158" t="s">
        <v>539</v>
      </c>
      <c r="E144" s="250"/>
      <c r="F144" s="104">
        <v>1</v>
      </c>
      <c r="G144" s="104">
        <v>1</v>
      </c>
      <c r="H144" s="104">
        <f t="shared" si="8"/>
        <v>0</v>
      </c>
      <c r="I144" s="112" t="s">
        <v>1228</v>
      </c>
      <c r="J144" s="146" t="s">
        <v>1229</v>
      </c>
      <c r="K144" s="146" t="s">
        <v>1010</v>
      </c>
      <c r="L144" s="147" t="s">
        <v>49</v>
      </c>
      <c r="M144" s="102" t="s">
        <v>847</v>
      </c>
      <c r="N144" s="147">
        <v>1</v>
      </c>
      <c r="O144" s="102"/>
    </row>
    <row r="145" spans="1:15" ht="14.25" customHeight="1" x14ac:dyDescent="0.3">
      <c r="A145" s="125" t="s">
        <v>39</v>
      </c>
      <c r="B145" s="76" t="s">
        <v>34</v>
      </c>
      <c r="C145" s="6" t="s">
        <v>154</v>
      </c>
      <c r="D145" s="28" t="s">
        <v>540</v>
      </c>
      <c r="E145" s="248" t="s">
        <v>1230</v>
      </c>
      <c r="F145" s="104">
        <v>1</v>
      </c>
      <c r="G145" s="104">
        <v>1</v>
      </c>
      <c r="H145" s="104">
        <f t="shared" si="8"/>
        <v>0</v>
      </c>
      <c r="I145" s="112" t="s">
        <v>1231</v>
      </c>
      <c r="J145" s="146" t="s">
        <v>1232</v>
      </c>
      <c r="K145" s="146" t="s">
        <v>981</v>
      </c>
      <c r="L145" s="147" t="s">
        <v>49</v>
      </c>
      <c r="M145" s="102" t="s">
        <v>833</v>
      </c>
      <c r="N145" s="147">
        <v>1</v>
      </c>
      <c r="O145" s="102"/>
    </row>
    <row r="146" spans="1:15" ht="14.25" customHeight="1" x14ac:dyDescent="0.3">
      <c r="A146" s="125" t="s">
        <v>39</v>
      </c>
      <c r="B146" s="76" t="s">
        <v>34</v>
      </c>
      <c r="C146" s="6" t="s">
        <v>154</v>
      </c>
      <c r="D146" s="158" t="s">
        <v>540</v>
      </c>
      <c r="E146" s="250"/>
      <c r="F146" s="104">
        <v>1</v>
      </c>
      <c r="G146" s="104">
        <v>1</v>
      </c>
      <c r="H146" s="104">
        <f t="shared" si="8"/>
        <v>0</v>
      </c>
      <c r="I146" s="112" t="s">
        <v>1233</v>
      </c>
      <c r="J146" s="146" t="s">
        <v>1234</v>
      </c>
      <c r="K146" s="146" t="s">
        <v>1235</v>
      </c>
      <c r="L146" s="147" t="s">
        <v>52</v>
      </c>
      <c r="M146" s="102" t="s">
        <v>56</v>
      </c>
      <c r="N146" s="147">
        <v>1</v>
      </c>
      <c r="O146" s="102"/>
    </row>
    <row r="147" spans="1:15" ht="14.25" customHeight="1" x14ac:dyDescent="0.3">
      <c r="A147" s="125" t="s">
        <v>39</v>
      </c>
      <c r="B147" s="76" t="s">
        <v>34</v>
      </c>
      <c r="C147" s="6" t="s">
        <v>154</v>
      </c>
      <c r="D147" s="28" t="s">
        <v>541</v>
      </c>
      <c r="E147" s="248" t="s">
        <v>1236</v>
      </c>
      <c r="F147" s="104">
        <v>1</v>
      </c>
      <c r="G147" s="104">
        <v>1</v>
      </c>
      <c r="H147" s="104">
        <f t="shared" si="8"/>
        <v>0</v>
      </c>
      <c r="I147" s="112" t="s">
        <v>1237</v>
      </c>
      <c r="J147" s="146" t="s">
        <v>1238</v>
      </c>
      <c r="K147" s="146" t="s">
        <v>1227</v>
      </c>
      <c r="L147" s="147" t="s">
        <v>49</v>
      </c>
      <c r="M147" s="102" t="s">
        <v>866</v>
      </c>
      <c r="N147" s="147">
        <v>1</v>
      </c>
      <c r="O147" s="102"/>
    </row>
    <row r="148" spans="1:15" ht="14.25" customHeight="1" x14ac:dyDescent="0.3">
      <c r="A148" s="125" t="s">
        <v>39</v>
      </c>
      <c r="B148" s="76" t="s">
        <v>34</v>
      </c>
      <c r="C148" s="6" t="s">
        <v>154</v>
      </c>
      <c r="D148" s="158" t="s">
        <v>541</v>
      </c>
      <c r="E148" s="250"/>
      <c r="F148" s="104">
        <v>1</v>
      </c>
      <c r="G148" s="104">
        <v>1</v>
      </c>
      <c r="H148" s="104">
        <f t="shared" si="8"/>
        <v>0</v>
      </c>
      <c r="I148" s="112" t="s">
        <v>1239</v>
      </c>
      <c r="J148" s="146" t="s">
        <v>1240</v>
      </c>
      <c r="K148" s="146" t="s">
        <v>1241</v>
      </c>
      <c r="L148" s="147" t="s">
        <v>49</v>
      </c>
      <c r="M148" s="102" t="s">
        <v>833</v>
      </c>
      <c r="N148" s="147">
        <v>1</v>
      </c>
      <c r="O148" s="102"/>
    </row>
    <row r="149" spans="1:15" ht="14.25" customHeight="1" x14ac:dyDescent="0.3">
      <c r="A149" s="125" t="s">
        <v>39</v>
      </c>
      <c r="B149" s="76" t="s">
        <v>34</v>
      </c>
      <c r="C149" s="6" t="s">
        <v>154</v>
      </c>
      <c r="D149" s="28" t="s">
        <v>542</v>
      </c>
      <c r="E149" s="248" t="s">
        <v>1242</v>
      </c>
      <c r="F149" s="104">
        <v>1</v>
      </c>
      <c r="G149" s="104">
        <v>1</v>
      </c>
      <c r="H149" s="104">
        <f t="shared" si="8"/>
        <v>0</v>
      </c>
      <c r="I149" s="112" t="s">
        <v>1243</v>
      </c>
      <c r="J149" s="136" t="s">
        <v>1244</v>
      </c>
      <c r="K149" s="136" t="s">
        <v>1235</v>
      </c>
      <c r="L149" s="147" t="s">
        <v>49</v>
      </c>
      <c r="M149" s="102" t="s">
        <v>56</v>
      </c>
      <c r="N149" s="147">
        <v>1</v>
      </c>
      <c r="O149" s="102"/>
    </row>
    <row r="150" spans="1:15" ht="14.25" customHeight="1" x14ac:dyDescent="0.3">
      <c r="A150" s="125" t="s">
        <v>39</v>
      </c>
      <c r="B150" s="76" t="s">
        <v>34</v>
      </c>
      <c r="C150" s="6" t="s">
        <v>154</v>
      </c>
      <c r="D150" s="158" t="s">
        <v>542</v>
      </c>
      <c r="E150" s="250"/>
      <c r="F150" s="104">
        <v>1</v>
      </c>
      <c r="G150" s="104">
        <v>1</v>
      </c>
      <c r="H150" s="104">
        <f t="shared" si="8"/>
        <v>0</v>
      </c>
      <c r="I150" s="112" t="s">
        <v>1245</v>
      </c>
      <c r="J150" s="136" t="s">
        <v>1246</v>
      </c>
      <c r="K150" s="136" t="s">
        <v>1247</v>
      </c>
      <c r="L150" s="147" t="s">
        <v>49</v>
      </c>
      <c r="M150" s="102" t="s">
        <v>866</v>
      </c>
      <c r="N150" s="147">
        <v>1</v>
      </c>
      <c r="O150" s="102"/>
    </row>
    <row r="151" spans="1:15" ht="14.25" customHeight="1" x14ac:dyDescent="0.3">
      <c r="A151" s="125" t="s">
        <v>39</v>
      </c>
      <c r="B151" s="76" t="s">
        <v>34</v>
      </c>
      <c r="C151" s="6" t="s">
        <v>154</v>
      </c>
      <c r="D151" s="28" t="s">
        <v>543</v>
      </c>
      <c r="E151" s="248" t="s">
        <v>1248</v>
      </c>
      <c r="F151" s="104">
        <v>1</v>
      </c>
      <c r="G151" s="129">
        <v>0</v>
      </c>
      <c r="H151" s="129">
        <f t="shared" si="8"/>
        <v>1</v>
      </c>
      <c r="I151" s="137"/>
      <c r="J151" s="137" t="s">
        <v>27</v>
      </c>
      <c r="K151" s="136"/>
      <c r="L151" s="147"/>
      <c r="M151" s="102"/>
      <c r="N151" s="162">
        <v>0</v>
      </c>
      <c r="O151" s="102" t="s">
        <v>1249</v>
      </c>
    </row>
    <row r="152" spans="1:15" ht="14.25" customHeight="1" x14ac:dyDescent="0.3">
      <c r="A152" s="125" t="s">
        <v>39</v>
      </c>
      <c r="B152" s="76" t="s">
        <v>34</v>
      </c>
      <c r="C152" s="6" t="s">
        <v>154</v>
      </c>
      <c r="D152" s="158" t="s">
        <v>543</v>
      </c>
      <c r="E152" s="250"/>
      <c r="F152" s="104">
        <v>1</v>
      </c>
      <c r="G152" s="104">
        <v>1</v>
      </c>
      <c r="H152" s="104">
        <f t="shared" si="8"/>
        <v>0</v>
      </c>
      <c r="I152" s="112" t="s">
        <v>1250</v>
      </c>
      <c r="J152" s="136" t="s">
        <v>1251</v>
      </c>
      <c r="K152" s="136" t="s">
        <v>1252</v>
      </c>
      <c r="L152" s="147" t="s">
        <v>49</v>
      </c>
      <c r="M152" s="102" t="s">
        <v>1162</v>
      </c>
      <c r="N152" s="147">
        <v>1</v>
      </c>
      <c r="O152" s="102"/>
    </row>
    <row r="153" spans="1:15" ht="14.25" customHeight="1" x14ac:dyDescent="0.3">
      <c r="A153" s="125" t="s">
        <v>39</v>
      </c>
      <c r="B153" s="76" t="s">
        <v>34</v>
      </c>
      <c r="C153" s="6" t="s">
        <v>154</v>
      </c>
      <c r="D153" s="28" t="s">
        <v>544</v>
      </c>
      <c r="E153" s="248" t="s">
        <v>1253</v>
      </c>
      <c r="F153" s="104">
        <v>1</v>
      </c>
      <c r="G153" s="104">
        <v>1</v>
      </c>
      <c r="H153" s="104">
        <f t="shared" si="8"/>
        <v>0</v>
      </c>
      <c r="I153" s="112" t="s">
        <v>1254</v>
      </c>
      <c r="J153" s="136" t="s">
        <v>1255</v>
      </c>
      <c r="K153" s="136" t="s">
        <v>1252</v>
      </c>
      <c r="L153" s="147" t="s">
        <v>49</v>
      </c>
      <c r="M153" s="102" t="s">
        <v>1162</v>
      </c>
      <c r="N153" s="147">
        <v>1</v>
      </c>
      <c r="O153" s="102"/>
    </row>
    <row r="154" spans="1:15" ht="14.25" customHeight="1" x14ac:dyDescent="0.3">
      <c r="A154" s="125" t="s">
        <v>39</v>
      </c>
      <c r="B154" s="76" t="s">
        <v>34</v>
      </c>
      <c r="C154" s="6" t="s">
        <v>154</v>
      </c>
      <c r="D154" s="158" t="s">
        <v>544</v>
      </c>
      <c r="E154" s="250"/>
      <c r="F154" s="104">
        <v>1</v>
      </c>
      <c r="G154" s="104">
        <v>1</v>
      </c>
      <c r="H154" s="104">
        <f t="shared" si="8"/>
        <v>0</v>
      </c>
      <c r="I154" s="112" t="s">
        <v>1256</v>
      </c>
      <c r="J154" s="136" t="s">
        <v>1257</v>
      </c>
      <c r="K154" s="136" t="s">
        <v>1258</v>
      </c>
      <c r="L154" s="147" t="s">
        <v>49</v>
      </c>
      <c r="M154" s="102" t="s">
        <v>1162</v>
      </c>
      <c r="N154" s="147">
        <v>1</v>
      </c>
      <c r="O154" s="102"/>
    </row>
    <row r="155" spans="1:15" ht="14.25" customHeight="1" x14ac:dyDescent="0.3">
      <c r="A155" s="125" t="s">
        <v>39</v>
      </c>
      <c r="B155" s="76" t="s">
        <v>34</v>
      </c>
      <c r="C155" s="6" t="s">
        <v>154</v>
      </c>
      <c r="D155" s="28" t="s">
        <v>545</v>
      </c>
      <c r="E155" s="248" t="s">
        <v>1259</v>
      </c>
      <c r="F155" s="104">
        <v>1</v>
      </c>
      <c r="G155" s="104">
        <v>1</v>
      </c>
      <c r="H155" s="104">
        <f t="shared" si="8"/>
        <v>0</v>
      </c>
      <c r="I155" s="135"/>
      <c r="J155" s="135" t="s">
        <v>1260</v>
      </c>
      <c r="K155" s="136"/>
      <c r="L155" s="147"/>
      <c r="M155" s="102"/>
      <c r="N155" s="147">
        <v>1</v>
      </c>
      <c r="O155" s="102"/>
    </row>
    <row r="156" spans="1:15" ht="14.25" customHeight="1" x14ac:dyDescent="0.3">
      <c r="A156" s="125" t="s">
        <v>39</v>
      </c>
      <c r="B156" s="76" t="s">
        <v>34</v>
      </c>
      <c r="C156" s="6" t="s">
        <v>154</v>
      </c>
      <c r="D156" s="158" t="s">
        <v>545</v>
      </c>
      <c r="E156" s="250"/>
      <c r="F156" s="104">
        <v>1</v>
      </c>
      <c r="G156" s="104">
        <v>1</v>
      </c>
      <c r="H156" s="104">
        <f t="shared" si="8"/>
        <v>0</v>
      </c>
      <c r="I156" s="135"/>
      <c r="J156" s="135" t="s">
        <v>1261</v>
      </c>
      <c r="K156" s="163"/>
      <c r="L156" s="147"/>
      <c r="M156" s="102"/>
      <c r="N156" s="147">
        <v>1</v>
      </c>
      <c r="O156" s="102"/>
    </row>
    <row r="157" spans="1:15" ht="14.25" customHeight="1" x14ac:dyDescent="0.3">
      <c r="A157" s="125" t="s">
        <v>39</v>
      </c>
      <c r="B157" s="76" t="s">
        <v>34</v>
      </c>
      <c r="C157" s="6" t="s">
        <v>154</v>
      </c>
      <c r="D157" s="28" t="s">
        <v>546</v>
      </c>
      <c r="E157" s="248" t="s">
        <v>1262</v>
      </c>
      <c r="F157" s="104">
        <v>1</v>
      </c>
      <c r="G157" s="104">
        <v>1</v>
      </c>
      <c r="H157" s="104">
        <f t="shared" si="8"/>
        <v>0</v>
      </c>
      <c r="I157" s="112" t="s">
        <v>1263</v>
      </c>
      <c r="J157" s="136" t="s">
        <v>1264</v>
      </c>
      <c r="K157" s="136" t="s">
        <v>1265</v>
      </c>
      <c r="L157" s="147" t="s">
        <v>49</v>
      </c>
      <c r="M157" s="102" t="s">
        <v>895</v>
      </c>
      <c r="N157" s="147">
        <v>1</v>
      </c>
      <c r="O157" s="102"/>
    </row>
    <row r="158" spans="1:15" ht="14.25" customHeight="1" x14ac:dyDescent="0.3">
      <c r="A158" s="125" t="s">
        <v>39</v>
      </c>
      <c r="B158" s="76" t="s">
        <v>34</v>
      </c>
      <c r="C158" s="6" t="s">
        <v>154</v>
      </c>
      <c r="D158" s="158" t="s">
        <v>546</v>
      </c>
      <c r="E158" s="250"/>
      <c r="F158" s="104">
        <v>1</v>
      </c>
      <c r="G158" s="104">
        <v>1</v>
      </c>
      <c r="H158" s="104">
        <f t="shared" si="8"/>
        <v>0</v>
      </c>
      <c r="I158" s="135"/>
      <c r="J158" s="135" t="s">
        <v>1266</v>
      </c>
      <c r="K158" s="163"/>
      <c r="L158" s="147"/>
      <c r="M158" s="102"/>
      <c r="N158" s="147">
        <v>1</v>
      </c>
      <c r="O158" s="102"/>
    </row>
    <row r="159" spans="1:15" ht="14.25" customHeight="1" x14ac:dyDescent="0.3">
      <c r="A159" s="125" t="s">
        <v>39</v>
      </c>
      <c r="B159" s="76" t="s">
        <v>34</v>
      </c>
      <c r="C159" s="6" t="s">
        <v>154</v>
      </c>
      <c r="D159" s="28" t="s">
        <v>547</v>
      </c>
      <c r="E159" s="248" t="s">
        <v>1267</v>
      </c>
      <c r="F159" s="104">
        <v>1</v>
      </c>
      <c r="G159" s="129">
        <v>0</v>
      </c>
      <c r="H159" s="129">
        <f t="shared" si="8"/>
        <v>1</v>
      </c>
      <c r="I159" s="150"/>
      <c r="J159" s="150" t="s">
        <v>27</v>
      </c>
      <c r="K159" s="146"/>
      <c r="L159" s="147"/>
      <c r="M159" s="102"/>
      <c r="N159" s="162">
        <v>0</v>
      </c>
      <c r="O159" s="102" t="s">
        <v>1268</v>
      </c>
    </row>
    <row r="160" spans="1:15" ht="14.25" customHeight="1" x14ac:dyDescent="0.3">
      <c r="A160" s="125" t="s">
        <v>39</v>
      </c>
      <c r="B160" s="76" t="s">
        <v>34</v>
      </c>
      <c r="C160" s="6" t="s">
        <v>154</v>
      </c>
      <c r="D160" s="158" t="s">
        <v>547</v>
      </c>
      <c r="E160" s="250"/>
      <c r="F160" s="104">
        <v>1</v>
      </c>
      <c r="G160" s="104">
        <v>1</v>
      </c>
      <c r="H160" s="104">
        <f t="shared" si="8"/>
        <v>0</v>
      </c>
      <c r="I160" s="112" t="s">
        <v>1269</v>
      </c>
      <c r="J160" s="146" t="s">
        <v>1270</v>
      </c>
      <c r="K160" s="146" t="s">
        <v>1271</v>
      </c>
      <c r="L160" s="147" t="s">
        <v>49</v>
      </c>
      <c r="M160" s="102" t="s">
        <v>939</v>
      </c>
      <c r="N160" s="147">
        <v>1</v>
      </c>
      <c r="O160" s="102"/>
    </row>
    <row r="161" spans="1:15" ht="14.25" customHeight="1" x14ac:dyDescent="0.3">
      <c r="A161" s="125" t="s">
        <v>39</v>
      </c>
      <c r="B161" s="76" t="s">
        <v>34</v>
      </c>
      <c r="C161" s="6" t="s">
        <v>154</v>
      </c>
      <c r="D161" s="28" t="s">
        <v>548</v>
      </c>
      <c r="E161" s="248" t="s">
        <v>1272</v>
      </c>
      <c r="F161" s="104">
        <v>1</v>
      </c>
      <c r="G161" s="104">
        <v>1</v>
      </c>
      <c r="H161" s="104">
        <f t="shared" si="8"/>
        <v>0</v>
      </c>
      <c r="I161" s="112" t="s">
        <v>1273</v>
      </c>
      <c r="J161" s="146" t="s">
        <v>1274</v>
      </c>
      <c r="K161" s="146" t="s">
        <v>1275</v>
      </c>
      <c r="L161" s="147" t="s">
        <v>49</v>
      </c>
      <c r="M161" s="102" t="s">
        <v>866</v>
      </c>
      <c r="N161" s="147">
        <v>1</v>
      </c>
      <c r="O161" s="102"/>
    </row>
    <row r="162" spans="1:15" ht="14.25" customHeight="1" x14ac:dyDescent="0.3">
      <c r="A162" s="125" t="s">
        <v>39</v>
      </c>
      <c r="B162" s="76" t="s">
        <v>34</v>
      </c>
      <c r="C162" s="6" t="s">
        <v>154</v>
      </c>
      <c r="D162" s="158" t="s">
        <v>548</v>
      </c>
      <c r="E162" s="250"/>
      <c r="F162" s="104">
        <v>1</v>
      </c>
      <c r="G162" s="104">
        <v>1</v>
      </c>
      <c r="H162" s="104">
        <f t="shared" si="8"/>
        <v>0</v>
      </c>
      <c r="I162" s="112" t="s">
        <v>1276</v>
      </c>
      <c r="J162" s="146" t="s">
        <v>1277</v>
      </c>
      <c r="K162" s="146" t="s">
        <v>1278</v>
      </c>
      <c r="L162" s="147" t="s">
        <v>49</v>
      </c>
      <c r="M162" s="102" t="s">
        <v>847</v>
      </c>
      <c r="N162" s="147">
        <v>1</v>
      </c>
      <c r="O162" s="102"/>
    </row>
    <row r="163" spans="1:15" ht="14.25" customHeight="1" x14ac:dyDescent="0.3">
      <c r="A163" s="125" t="s">
        <v>39</v>
      </c>
      <c r="B163" s="76" t="s">
        <v>34</v>
      </c>
      <c r="C163" s="6" t="s">
        <v>154</v>
      </c>
      <c r="D163" s="28" t="s">
        <v>549</v>
      </c>
      <c r="E163" s="248" t="s">
        <v>1279</v>
      </c>
      <c r="F163" s="104">
        <v>1</v>
      </c>
      <c r="G163" s="104">
        <v>1</v>
      </c>
      <c r="H163" s="104">
        <f t="shared" si="8"/>
        <v>0</v>
      </c>
      <c r="I163" s="112" t="s">
        <v>1280</v>
      </c>
      <c r="J163" s="146" t="s">
        <v>1281</v>
      </c>
      <c r="K163" s="146" t="s">
        <v>1282</v>
      </c>
      <c r="L163" s="147" t="s">
        <v>49</v>
      </c>
      <c r="M163" s="102" t="s">
        <v>1162</v>
      </c>
      <c r="N163" s="147">
        <v>1</v>
      </c>
      <c r="O163" s="102"/>
    </row>
    <row r="164" spans="1:15" ht="14.25" customHeight="1" x14ac:dyDescent="0.3">
      <c r="A164" s="125" t="s">
        <v>39</v>
      </c>
      <c r="B164" s="76" t="s">
        <v>34</v>
      </c>
      <c r="C164" s="6" t="s">
        <v>154</v>
      </c>
      <c r="D164" s="158" t="s">
        <v>549</v>
      </c>
      <c r="E164" s="250"/>
      <c r="F164" s="104">
        <v>1</v>
      </c>
      <c r="G164" s="104">
        <v>1</v>
      </c>
      <c r="H164" s="104">
        <f t="shared" si="8"/>
        <v>0</v>
      </c>
      <c r="I164" s="112" t="s">
        <v>1283</v>
      </c>
      <c r="J164" s="146" t="s">
        <v>1284</v>
      </c>
      <c r="K164" s="146" t="s">
        <v>1285</v>
      </c>
      <c r="L164" s="147" t="s">
        <v>49</v>
      </c>
      <c r="M164" s="102" t="s">
        <v>838</v>
      </c>
      <c r="N164" s="147">
        <v>1</v>
      </c>
      <c r="O164" s="102"/>
    </row>
    <row r="165" spans="1:15" ht="14.25" customHeight="1" x14ac:dyDescent="0.3">
      <c r="A165" s="125" t="s">
        <v>39</v>
      </c>
      <c r="B165" s="76" t="s">
        <v>34</v>
      </c>
      <c r="C165" s="6" t="s">
        <v>154</v>
      </c>
      <c r="D165" s="28" t="s">
        <v>550</v>
      </c>
      <c r="E165" s="248" t="s">
        <v>1286</v>
      </c>
      <c r="F165" s="104">
        <v>1</v>
      </c>
      <c r="G165" s="104">
        <v>1</v>
      </c>
      <c r="H165" s="104">
        <f t="shared" si="8"/>
        <v>0</v>
      </c>
      <c r="I165" s="112" t="s">
        <v>1287</v>
      </c>
      <c r="J165" s="146" t="s">
        <v>1288</v>
      </c>
      <c r="K165" s="146" t="s">
        <v>1289</v>
      </c>
      <c r="L165" s="147" t="s">
        <v>49</v>
      </c>
      <c r="M165" s="102" t="s">
        <v>1290</v>
      </c>
      <c r="N165" s="147">
        <v>1</v>
      </c>
      <c r="O165" s="102"/>
    </row>
    <row r="166" spans="1:15" ht="14.25" customHeight="1" x14ac:dyDescent="0.3">
      <c r="A166" s="125" t="s">
        <v>39</v>
      </c>
      <c r="B166" s="76" t="s">
        <v>34</v>
      </c>
      <c r="C166" s="6" t="s">
        <v>154</v>
      </c>
      <c r="D166" s="158" t="s">
        <v>550</v>
      </c>
      <c r="E166" s="250"/>
      <c r="F166" s="104">
        <v>1</v>
      </c>
      <c r="G166" s="104">
        <v>1</v>
      </c>
      <c r="H166" s="104">
        <f t="shared" si="8"/>
        <v>0</v>
      </c>
      <c r="I166" s="112" t="s">
        <v>1291</v>
      </c>
      <c r="J166" s="146" t="s">
        <v>1292</v>
      </c>
      <c r="K166" s="146" t="s">
        <v>1293</v>
      </c>
      <c r="L166" s="147" t="s">
        <v>49</v>
      </c>
      <c r="M166" s="102" t="s">
        <v>1017</v>
      </c>
      <c r="N166" s="147">
        <v>1</v>
      </c>
      <c r="O166" s="102"/>
    </row>
    <row r="167" spans="1:15" ht="14.25" customHeight="1" x14ac:dyDescent="0.3">
      <c r="A167" s="125" t="s">
        <v>39</v>
      </c>
      <c r="B167" s="76" t="s">
        <v>34</v>
      </c>
      <c r="C167" s="6" t="s">
        <v>154</v>
      </c>
      <c r="D167" s="28" t="s">
        <v>551</v>
      </c>
      <c r="E167" s="248" t="s">
        <v>1294</v>
      </c>
      <c r="F167" s="104">
        <v>1</v>
      </c>
      <c r="G167" s="104">
        <v>1</v>
      </c>
      <c r="H167" s="104">
        <f t="shared" si="8"/>
        <v>0</v>
      </c>
      <c r="I167" s="112" t="s">
        <v>1295</v>
      </c>
      <c r="J167" s="146" t="s">
        <v>1296</v>
      </c>
      <c r="K167" s="146" t="s">
        <v>1297</v>
      </c>
      <c r="L167" s="147" t="s">
        <v>49</v>
      </c>
      <c r="M167" s="102" t="s">
        <v>1298</v>
      </c>
      <c r="N167" s="147">
        <v>1</v>
      </c>
      <c r="O167" s="102"/>
    </row>
    <row r="168" spans="1:15" ht="14.25" customHeight="1" x14ac:dyDescent="0.3">
      <c r="A168" s="125" t="s">
        <v>39</v>
      </c>
      <c r="B168" s="76" t="s">
        <v>34</v>
      </c>
      <c r="C168" s="6" t="s">
        <v>154</v>
      </c>
      <c r="D168" s="158" t="s">
        <v>551</v>
      </c>
      <c r="E168" s="250"/>
      <c r="F168" s="104">
        <v>1</v>
      </c>
      <c r="G168" s="104">
        <v>1</v>
      </c>
      <c r="H168" s="104">
        <f t="shared" si="8"/>
        <v>0</v>
      </c>
      <c r="I168" s="112" t="s">
        <v>1299</v>
      </c>
      <c r="J168" s="146" t="s">
        <v>1300</v>
      </c>
      <c r="K168" s="146" t="s">
        <v>1301</v>
      </c>
      <c r="L168" s="147" t="s">
        <v>49</v>
      </c>
      <c r="M168" s="102" t="s">
        <v>817</v>
      </c>
      <c r="N168" s="147">
        <v>1</v>
      </c>
      <c r="O168" s="102"/>
    </row>
    <row r="169" spans="1:15" ht="14.4" x14ac:dyDescent="0.3">
      <c r="A169" s="125" t="s">
        <v>39</v>
      </c>
      <c r="B169" s="76" t="s">
        <v>34</v>
      </c>
      <c r="C169" s="6" t="s">
        <v>154</v>
      </c>
      <c r="D169" s="28" t="s">
        <v>552</v>
      </c>
      <c r="E169" s="248" t="s">
        <v>1302</v>
      </c>
      <c r="F169" s="104">
        <v>1</v>
      </c>
      <c r="G169" s="104">
        <v>1</v>
      </c>
      <c r="H169" s="104">
        <f t="shared" si="8"/>
        <v>0</v>
      </c>
      <c r="I169" s="112" t="s">
        <v>1303</v>
      </c>
      <c r="J169" s="146" t="s">
        <v>1304</v>
      </c>
      <c r="K169" s="146" t="s">
        <v>1305</v>
      </c>
      <c r="L169" s="147" t="s">
        <v>49</v>
      </c>
      <c r="M169" s="102" t="s">
        <v>1306</v>
      </c>
      <c r="N169" s="147">
        <v>1</v>
      </c>
      <c r="O169" s="102"/>
    </row>
    <row r="170" spans="1:15" ht="14.25" customHeight="1" x14ac:dyDescent="0.3">
      <c r="A170" s="125" t="s">
        <v>39</v>
      </c>
      <c r="B170" s="76" t="s">
        <v>34</v>
      </c>
      <c r="C170" s="6" t="s">
        <v>154</v>
      </c>
      <c r="D170" s="158" t="s">
        <v>552</v>
      </c>
      <c r="E170" s="250"/>
      <c r="F170" s="104">
        <v>1</v>
      </c>
      <c r="G170" s="104">
        <v>1</v>
      </c>
      <c r="H170" s="104">
        <f t="shared" si="8"/>
        <v>0</v>
      </c>
      <c r="I170" s="149" t="s">
        <v>1155</v>
      </c>
      <c r="J170" s="149" t="s">
        <v>1156</v>
      </c>
      <c r="K170" s="146" t="s">
        <v>1157</v>
      </c>
      <c r="L170" s="147" t="s">
        <v>52</v>
      </c>
      <c r="M170" s="102" t="s">
        <v>895</v>
      </c>
      <c r="N170" s="147">
        <v>1</v>
      </c>
      <c r="O170" s="102"/>
    </row>
    <row r="171" spans="1:15" ht="14.25" customHeight="1" x14ac:dyDescent="0.3">
      <c r="A171" s="125" t="s">
        <v>39</v>
      </c>
      <c r="B171" s="76" t="s">
        <v>34</v>
      </c>
      <c r="C171" s="6" t="s">
        <v>154</v>
      </c>
      <c r="D171" s="28" t="s">
        <v>553</v>
      </c>
      <c r="E171" s="248" t="s">
        <v>1307</v>
      </c>
      <c r="F171" s="104">
        <v>1</v>
      </c>
      <c r="G171" s="104">
        <v>1</v>
      </c>
      <c r="H171" s="104">
        <f t="shared" si="8"/>
        <v>0</v>
      </c>
      <c r="I171" s="112" t="s">
        <v>1308</v>
      </c>
      <c r="J171" s="146" t="s">
        <v>1309</v>
      </c>
      <c r="K171" s="146" t="s">
        <v>1310</v>
      </c>
      <c r="L171" s="147" t="s">
        <v>49</v>
      </c>
      <c r="M171" s="102" t="s">
        <v>939</v>
      </c>
      <c r="N171" s="147">
        <v>1</v>
      </c>
      <c r="O171" s="102"/>
    </row>
    <row r="172" spans="1:15" ht="14.25" customHeight="1" x14ac:dyDescent="0.3">
      <c r="A172" s="125" t="s">
        <v>39</v>
      </c>
      <c r="B172" s="76" t="s">
        <v>34</v>
      </c>
      <c r="C172" s="6" t="s">
        <v>154</v>
      </c>
      <c r="D172" s="158" t="s">
        <v>553</v>
      </c>
      <c r="E172" s="250"/>
      <c r="F172" s="104">
        <v>1</v>
      </c>
      <c r="G172" s="104">
        <v>1</v>
      </c>
      <c r="H172" s="104">
        <f t="shared" si="8"/>
        <v>0</v>
      </c>
      <c r="I172" s="112" t="s">
        <v>1311</v>
      </c>
      <c r="J172" s="146" t="s">
        <v>1312</v>
      </c>
      <c r="K172" s="146" t="s">
        <v>1313</v>
      </c>
      <c r="L172" s="147" t="s">
        <v>49</v>
      </c>
      <c r="M172" s="102" t="s">
        <v>939</v>
      </c>
      <c r="N172" s="147">
        <v>1</v>
      </c>
      <c r="O172" s="102"/>
    </row>
    <row r="173" spans="1:15" ht="14.25" customHeight="1" x14ac:dyDescent="0.3">
      <c r="A173" s="125" t="s">
        <v>39</v>
      </c>
      <c r="B173" s="76" t="s">
        <v>34</v>
      </c>
      <c r="C173" s="6" t="s">
        <v>154</v>
      </c>
      <c r="D173" s="28" t="s">
        <v>554</v>
      </c>
      <c r="E173" s="248" t="s">
        <v>1314</v>
      </c>
      <c r="F173" s="104">
        <v>1</v>
      </c>
      <c r="G173" s="104">
        <v>1</v>
      </c>
      <c r="H173" s="104">
        <f t="shared" si="8"/>
        <v>0</v>
      </c>
      <c r="I173" s="112" t="s">
        <v>1315</v>
      </c>
      <c r="J173" s="146" t="s">
        <v>1316</v>
      </c>
      <c r="K173" s="146" t="s">
        <v>1317</v>
      </c>
      <c r="L173" s="147" t="s">
        <v>49</v>
      </c>
      <c r="M173" s="102" t="s">
        <v>855</v>
      </c>
      <c r="N173" s="147">
        <v>1</v>
      </c>
      <c r="O173" s="102"/>
    </row>
    <row r="174" spans="1:15" ht="14.25" customHeight="1" x14ac:dyDescent="0.3">
      <c r="A174" s="125" t="s">
        <v>39</v>
      </c>
      <c r="B174" s="76" t="s">
        <v>34</v>
      </c>
      <c r="C174" s="6" t="s">
        <v>154</v>
      </c>
      <c r="D174" s="158" t="s">
        <v>554</v>
      </c>
      <c r="E174" s="250"/>
      <c r="F174" s="104">
        <v>1</v>
      </c>
      <c r="G174" s="129">
        <v>0</v>
      </c>
      <c r="H174" s="129">
        <f t="shared" si="8"/>
        <v>1</v>
      </c>
      <c r="I174" s="150"/>
      <c r="J174" s="150" t="s">
        <v>27</v>
      </c>
      <c r="K174" s="146"/>
      <c r="L174" s="147"/>
      <c r="M174" s="102"/>
      <c r="N174" s="162">
        <v>0</v>
      </c>
      <c r="O174" s="102" t="s">
        <v>1318</v>
      </c>
    </row>
    <row r="175" spans="1:15" ht="14.25" customHeight="1" x14ac:dyDescent="0.3">
      <c r="A175" s="125" t="s">
        <v>39</v>
      </c>
      <c r="B175" s="76" t="s">
        <v>34</v>
      </c>
      <c r="C175" s="6" t="s">
        <v>154</v>
      </c>
      <c r="D175" s="28" t="s">
        <v>555</v>
      </c>
      <c r="E175" s="248" t="s">
        <v>1319</v>
      </c>
      <c r="F175" s="104">
        <v>1</v>
      </c>
      <c r="G175" s="129">
        <v>0</v>
      </c>
      <c r="H175" s="129">
        <f t="shared" si="8"/>
        <v>1</v>
      </c>
      <c r="I175" s="150"/>
      <c r="J175" s="150" t="s">
        <v>27</v>
      </c>
      <c r="K175" s="146"/>
      <c r="L175" s="147"/>
      <c r="M175" s="102"/>
      <c r="N175" s="162">
        <v>0</v>
      </c>
      <c r="O175" s="102" t="s">
        <v>1320</v>
      </c>
    </row>
    <row r="176" spans="1:15" ht="14.25" customHeight="1" x14ac:dyDescent="0.3">
      <c r="A176" s="125" t="s">
        <v>39</v>
      </c>
      <c r="B176" s="76" t="s">
        <v>34</v>
      </c>
      <c r="C176" s="6" t="s">
        <v>154</v>
      </c>
      <c r="D176" s="158" t="s">
        <v>555</v>
      </c>
      <c r="E176" s="250"/>
      <c r="F176" s="104">
        <v>1</v>
      </c>
      <c r="G176" s="104">
        <v>1</v>
      </c>
      <c r="H176" s="104">
        <f t="shared" si="8"/>
        <v>0</v>
      </c>
      <c r="I176" s="112" t="s">
        <v>1321</v>
      </c>
      <c r="J176" s="146" t="s">
        <v>1322</v>
      </c>
      <c r="K176" s="146" t="s">
        <v>1323</v>
      </c>
      <c r="L176" s="147" t="s">
        <v>49</v>
      </c>
      <c r="M176" s="102" t="s">
        <v>1064</v>
      </c>
      <c r="N176" s="147">
        <v>1</v>
      </c>
      <c r="O176" s="102"/>
    </row>
    <row r="177" spans="1:15" ht="14.25" customHeight="1" x14ac:dyDescent="0.3">
      <c r="A177" s="125" t="s">
        <v>39</v>
      </c>
      <c r="B177" s="76" t="s">
        <v>34</v>
      </c>
      <c r="C177" s="6" t="s">
        <v>154</v>
      </c>
      <c r="D177" s="28" t="s">
        <v>556</v>
      </c>
      <c r="E177" s="248" t="s">
        <v>1324</v>
      </c>
      <c r="F177" s="104">
        <v>1</v>
      </c>
      <c r="G177" s="129">
        <v>0</v>
      </c>
      <c r="H177" s="129">
        <f t="shared" si="8"/>
        <v>1</v>
      </c>
      <c r="I177" s="150"/>
      <c r="J177" s="150" t="s">
        <v>27</v>
      </c>
      <c r="K177" s="146"/>
      <c r="L177" s="147"/>
      <c r="M177" s="102"/>
      <c r="N177" s="162">
        <v>0</v>
      </c>
      <c r="O177" s="102" t="s">
        <v>1325</v>
      </c>
    </row>
    <row r="178" spans="1:15" ht="14.25" customHeight="1" x14ac:dyDescent="0.3">
      <c r="A178" s="125" t="s">
        <v>39</v>
      </c>
      <c r="B178" s="76" t="s">
        <v>34</v>
      </c>
      <c r="C178" s="6" t="s">
        <v>154</v>
      </c>
      <c r="D178" s="28" t="s">
        <v>556</v>
      </c>
      <c r="E178" s="248"/>
      <c r="F178" s="104">
        <v>1</v>
      </c>
      <c r="G178" s="129">
        <v>0</v>
      </c>
      <c r="H178" s="129">
        <f t="shared" si="8"/>
        <v>1</v>
      </c>
      <c r="I178" s="150"/>
      <c r="J178" s="150" t="s">
        <v>27</v>
      </c>
      <c r="K178" s="146"/>
      <c r="L178" s="147"/>
      <c r="M178" s="102"/>
      <c r="N178" s="162">
        <v>0</v>
      </c>
      <c r="O178" s="102" t="s">
        <v>1326</v>
      </c>
    </row>
    <row r="179" spans="1:15" s="114" customFormat="1" ht="14.25" customHeight="1" x14ac:dyDescent="0.3">
      <c r="A179" s="109" t="s">
        <v>62</v>
      </c>
      <c r="B179" s="22" t="s">
        <v>95</v>
      </c>
      <c r="C179" s="6" t="s">
        <v>137</v>
      </c>
      <c r="D179" s="26" t="s">
        <v>557</v>
      </c>
      <c r="E179" s="164" t="s">
        <v>1327</v>
      </c>
      <c r="F179" s="111">
        <v>1</v>
      </c>
      <c r="G179" s="111">
        <v>1</v>
      </c>
      <c r="H179" s="111">
        <f>F179-G179</f>
        <v>0</v>
      </c>
      <c r="I179" s="165"/>
      <c r="J179" s="165" t="s">
        <v>1328</v>
      </c>
      <c r="K179" s="113"/>
      <c r="L179" s="111">
        <v>211</v>
      </c>
      <c r="M179" s="124"/>
      <c r="N179" s="111">
        <v>1</v>
      </c>
      <c r="O179" s="109"/>
    </row>
    <row r="180" spans="1:15" s="114" customFormat="1" ht="13.95" customHeight="1" x14ac:dyDescent="0.3">
      <c r="A180" s="109" t="s">
        <v>62</v>
      </c>
      <c r="B180" s="22" t="s">
        <v>95</v>
      </c>
      <c r="C180" s="6" t="s">
        <v>137</v>
      </c>
      <c r="D180" s="26" t="s">
        <v>558</v>
      </c>
      <c r="E180" s="164" t="s">
        <v>1329</v>
      </c>
      <c r="F180" s="111">
        <v>1</v>
      </c>
      <c r="G180" s="111">
        <v>1</v>
      </c>
      <c r="H180" s="111">
        <f t="shared" ref="H180:H186" si="9">F180-G180</f>
        <v>0</v>
      </c>
      <c r="I180" s="112" t="s">
        <v>1245</v>
      </c>
      <c r="J180" s="165" t="s">
        <v>1246</v>
      </c>
      <c r="K180" s="113" t="s">
        <v>1247</v>
      </c>
      <c r="L180" s="111" t="s">
        <v>49</v>
      </c>
      <c r="M180" s="124" t="s">
        <v>866</v>
      </c>
      <c r="N180" s="111">
        <v>1</v>
      </c>
      <c r="O180" s="109"/>
    </row>
    <row r="181" spans="1:15" s="114" customFormat="1" ht="16.5" customHeight="1" x14ac:dyDescent="0.3">
      <c r="A181" s="109" t="s">
        <v>62</v>
      </c>
      <c r="B181" s="22" t="s">
        <v>95</v>
      </c>
      <c r="C181" s="6" t="s">
        <v>137</v>
      </c>
      <c r="D181" s="26" t="s">
        <v>559</v>
      </c>
      <c r="E181" s="251" t="s">
        <v>1330</v>
      </c>
      <c r="F181" s="111">
        <v>1</v>
      </c>
      <c r="G181" s="115">
        <v>0</v>
      </c>
      <c r="H181" s="115">
        <f t="shared" si="9"/>
        <v>1</v>
      </c>
      <c r="I181" s="166"/>
      <c r="J181" s="166" t="s">
        <v>27</v>
      </c>
      <c r="K181" s="113"/>
      <c r="L181" s="111"/>
      <c r="M181" s="124"/>
      <c r="N181" s="115">
        <v>0</v>
      </c>
      <c r="O181" s="109" t="s">
        <v>1331</v>
      </c>
    </row>
    <row r="182" spans="1:15" s="114" customFormat="1" ht="16.5" customHeight="1" x14ac:dyDescent="0.3">
      <c r="A182" s="109" t="s">
        <v>62</v>
      </c>
      <c r="B182" s="22" t="s">
        <v>95</v>
      </c>
      <c r="C182" s="6" t="s">
        <v>137</v>
      </c>
      <c r="D182" s="26" t="s">
        <v>559</v>
      </c>
      <c r="E182" s="252"/>
      <c r="F182" s="111">
        <v>1</v>
      </c>
      <c r="G182" s="111">
        <v>1</v>
      </c>
      <c r="H182" s="111">
        <f t="shared" si="9"/>
        <v>0</v>
      </c>
      <c r="I182" s="112" t="s">
        <v>1332</v>
      </c>
      <c r="J182" s="167" t="s">
        <v>1333</v>
      </c>
      <c r="K182" s="113" t="s">
        <v>1334</v>
      </c>
      <c r="L182" s="111" t="s">
        <v>49</v>
      </c>
      <c r="M182" s="113" t="s">
        <v>817</v>
      </c>
      <c r="N182" s="111">
        <v>1</v>
      </c>
      <c r="O182" s="109"/>
    </row>
    <row r="183" spans="1:15" s="114" customFormat="1" ht="14.25" customHeight="1" x14ac:dyDescent="0.3">
      <c r="A183" s="109" t="s">
        <v>62</v>
      </c>
      <c r="B183" s="22" t="s">
        <v>95</v>
      </c>
      <c r="C183" s="6" t="s">
        <v>137</v>
      </c>
      <c r="D183" s="29" t="s">
        <v>560</v>
      </c>
      <c r="E183" s="168" t="s">
        <v>1335</v>
      </c>
      <c r="F183" s="111">
        <v>1</v>
      </c>
      <c r="G183" s="111">
        <v>1</v>
      </c>
      <c r="H183" s="111">
        <f t="shared" si="9"/>
        <v>0</v>
      </c>
      <c r="I183" s="112" t="s">
        <v>1336</v>
      </c>
      <c r="J183" s="124" t="s">
        <v>1337</v>
      </c>
      <c r="K183" s="113" t="s">
        <v>1338</v>
      </c>
      <c r="L183" s="111" t="s">
        <v>52</v>
      </c>
      <c r="M183" s="124" t="s">
        <v>875</v>
      </c>
      <c r="N183" s="111">
        <v>1</v>
      </c>
      <c r="O183" s="109"/>
    </row>
    <row r="184" spans="1:15" s="114" customFormat="1" ht="14.25" customHeight="1" x14ac:dyDescent="0.3">
      <c r="A184" s="109" t="s">
        <v>62</v>
      </c>
      <c r="B184" s="22" t="s">
        <v>95</v>
      </c>
      <c r="C184" s="6" t="s">
        <v>137</v>
      </c>
      <c r="D184" s="26" t="s">
        <v>561</v>
      </c>
      <c r="E184" s="253" t="s">
        <v>1339</v>
      </c>
      <c r="F184" s="111">
        <v>1</v>
      </c>
      <c r="G184" s="111">
        <v>1</v>
      </c>
      <c r="H184" s="111">
        <f t="shared" si="9"/>
        <v>0</v>
      </c>
      <c r="I184" s="165"/>
      <c r="J184" s="165" t="s">
        <v>1340</v>
      </c>
      <c r="K184" s="113"/>
      <c r="L184" s="111">
        <v>211</v>
      </c>
      <c r="M184" s="124"/>
      <c r="N184" s="111">
        <v>1</v>
      </c>
      <c r="O184" s="109"/>
    </row>
    <row r="185" spans="1:15" s="114" customFormat="1" ht="14.25" customHeight="1" x14ac:dyDescent="0.3">
      <c r="A185" s="109" t="s">
        <v>62</v>
      </c>
      <c r="B185" s="22" t="s">
        <v>95</v>
      </c>
      <c r="C185" s="6" t="s">
        <v>137</v>
      </c>
      <c r="D185" s="26" t="s">
        <v>561</v>
      </c>
      <c r="E185" s="254"/>
      <c r="F185" s="111">
        <v>1</v>
      </c>
      <c r="G185" s="111">
        <v>1</v>
      </c>
      <c r="H185" s="111">
        <f t="shared" si="9"/>
        <v>0</v>
      </c>
      <c r="I185" s="165"/>
      <c r="J185" s="165" t="s">
        <v>1341</v>
      </c>
      <c r="K185" s="113"/>
      <c r="L185" s="111"/>
      <c r="M185" s="124"/>
      <c r="N185" s="111">
        <v>1</v>
      </c>
      <c r="O185" s="109"/>
    </row>
    <row r="186" spans="1:15" s="114" customFormat="1" ht="13.8" x14ac:dyDescent="0.3">
      <c r="A186" s="109" t="s">
        <v>62</v>
      </c>
      <c r="B186" s="22" t="s">
        <v>95</v>
      </c>
      <c r="C186" s="6" t="s">
        <v>137</v>
      </c>
      <c r="D186" s="29" t="s">
        <v>562</v>
      </c>
      <c r="E186" s="168" t="s">
        <v>1342</v>
      </c>
      <c r="F186" s="111">
        <v>1</v>
      </c>
      <c r="G186" s="111">
        <v>1</v>
      </c>
      <c r="H186" s="111">
        <f t="shared" si="9"/>
        <v>0</v>
      </c>
      <c r="I186" s="112" t="s">
        <v>1343</v>
      </c>
      <c r="J186" s="124" t="s">
        <v>1344</v>
      </c>
      <c r="K186" s="113" t="s">
        <v>1345</v>
      </c>
      <c r="L186" s="111" t="s">
        <v>52</v>
      </c>
      <c r="M186" s="124" t="s">
        <v>1290</v>
      </c>
      <c r="N186" s="111">
        <v>1</v>
      </c>
      <c r="O186" s="109"/>
    </row>
    <row r="187" spans="1:15" ht="13.8" x14ac:dyDescent="0.3">
      <c r="A187" s="109" t="s">
        <v>62</v>
      </c>
      <c r="B187" s="22" t="s">
        <v>63</v>
      </c>
      <c r="C187" s="6" t="s">
        <v>138</v>
      </c>
      <c r="D187" s="28" t="s">
        <v>563</v>
      </c>
      <c r="E187" s="248" t="s">
        <v>1346</v>
      </c>
      <c r="F187" s="104">
        <v>1</v>
      </c>
      <c r="G187" s="104">
        <v>1</v>
      </c>
      <c r="H187" s="104">
        <f>F187-G187</f>
        <v>0</v>
      </c>
      <c r="I187" s="112" t="s">
        <v>1347</v>
      </c>
      <c r="J187" s="102" t="s">
        <v>1348</v>
      </c>
      <c r="K187" s="136" t="s">
        <v>1349</v>
      </c>
      <c r="L187" s="136" t="s">
        <v>49</v>
      </c>
      <c r="M187" s="136" t="s">
        <v>817</v>
      </c>
      <c r="N187" s="104">
        <v>1</v>
      </c>
      <c r="O187" s="102"/>
    </row>
    <row r="188" spans="1:15" ht="13.8" x14ac:dyDescent="0.3">
      <c r="A188" s="109" t="s">
        <v>62</v>
      </c>
      <c r="B188" s="22" t="s">
        <v>63</v>
      </c>
      <c r="C188" s="6" t="s">
        <v>138</v>
      </c>
      <c r="D188" s="158" t="s">
        <v>563</v>
      </c>
      <c r="E188" s="255"/>
      <c r="F188" s="104">
        <v>1</v>
      </c>
      <c r="G188" s="104">
        <v>1</v>
      </c>
      <c r="H188" s="104">
        <f t="shared" ref="H188:H199" si="10">F188-G188</f>
        <v>0</v>
      </c>
      <c r="I188" s="112" t="s">
        <v>1350</v>
      </c>
      <c r="J188" s="102" t="s">
        <v>1351</v>
      </c>
      <c r="K188" s="136" t="s">
        <v>1352</v>
      </c>
      <c r="L188" s="136" t="s">
        <v>52</v>
      </c>
      <c r="M188" s="136" t="s">
        <v>1017</v>
      </c>
      <c r="N188" s="129">
        <v>0</v>
      </c>
      <c r="O188" s="102" t="s">
        <v>1353</v>
      </c>
    </row>
    <row r="189" spans="1:15" ht="13.8" x14ac:dyDescent="0.3">
      <c r="A189" s="109" t="s">
        <v>62</v>
      </c>
      <c r="B189" s="22" t="s">
        <v>63</v>
      </c>
      <c r="C189" s="6" t="s">
        <v>138</v>
      </c>
      <c r="D189" s="59" t="s">
        <v>564</v>
      </c>
      <c r="E189" s="255" t="s">
        <v>1354</v>
      </c>
      <c r="F189" s="104">
        <v>1</v>
      </c>
      <c r="G189" s="104">
        <v>0</v>
      </c>
      <c r="H189" s="104">
        <f t="shared" si="10"/>
        <v>1</v>
      </c>
      <c r="I189" s="102"/>
      <c r="J189" s="102" t="s">
        <v>27</v>
      </c>
      <c r="K189" s="136"/>
      <c r="L189" s="136"/>
      <c r="M189" s="136" t="s">
        <v>1355</v>
      </c>
      <c r="N189" s="129">
        <v>0</v>
      </c>
      <c r="O189" s="102" t="s">
        <v>1356</v>
      </c>
    </row>
    <row r="190" spans="1:15" ht="13.8" x14ac:dyDescent="0.3">
      <c r="A190" s="109" t="s">
        <v>62</v>
      </c>
      <c r="B190" s="22" t="s">
        <v>63</v>
      </c>
      <c r="C190" s="6" t="s">
        <v>138</v>
      </c>
      <c r="D190" s="158" t="s">
        <v>564</v>
      </c>
      <c r="E190" s="255"/>
      <c r="F190" s="104">
        <v>1</v>
      </c>
      <c r="G190" s="104">
        <v>1</v>
      </c>
      <c r="H190" s="104">
        <f t="shared" si="10"/>
        <v>0</v>
      </c>
      <c r="I190" s="112" t="s">
        <v>1357</v>
      </c>
      <c r="J190" s="102" t="s">
        <v>1358</v>
      </c>
      <c r="K190" s="136" t="s">
        <v>1359</v>
      </c>
      <c r="L190" s="136" t="s">
        <v>49</v>
      </c>
      <c r="M190" s="136" t="s">
        <v>866</v>
      </c>
      <c r="N190" s="104">
        <v>1</v>
      </c>
      <c r="O190" s="102"/>
    </row>
    <row r="191" spans="1:15" ht="13.8" x14ac:dyDescent="0.3">
      <c r="A191" s="109" t="s">
        <v>62</v>
      </c>
      <c r="B191" s="22" t="s">
        <v>63</v>
      </c>
      <c r="C191" s="6" t="s">
        <v>138</v>
      </c>
      <c r="D191" s="28" t="s">
        <v>565</v>
      </c>
      <c r="E191" s="104" t="s">
        <v>1360</v>
      </c>
      <c r="F191" s="104">
        <v>1</v>
      </c>
      <c r="G191" s="104">
        <v>1</v>
      </c>
      <c r="H191" s="104">
        <f t="shared" si="10"/>
        <v>0</v>
      </c>
      <c r="I191" s="112" t="s">
        <v>1361</v>
      </c>
      <c r="J191" s="102" t="s">
        <v>1362</v>
      </c>
      <c r="K191" s="136" t="s">
        <v>1363</v>
      </c>
      <c r="L191" s="136" t="s">
        <v>49</v>
      </c>
      <c r="M191" s="136" t="s">
        <v>866</v>
      </c>
      <c r="N191" s="104">
        <v>1</v>
      </c>
      <c r="O191" s="102"/>
    </row>
    <row r="192" spans="1:15" ht="13.8" x14ac:dyDescent="0.3">
      <c r="A192" s="109" t="s">
        <v>62</v>
      </c>
      <c r="B192" s="22" t="s">
        <v>63</v>
      </c>
      <c r="C192" s="6" t="s">
        <v>138</v>
      </c>
      <c r="D192" s="28" t="s">
        <v>566</v>
      </c>
      <c r="E192" s="248" t="s">
        <v>1364</v>
      </c>
      <c r="F192" s="104">
        <v>1</v>
      </c>
      <c r="G192" s="104">
        <v>1</v>
      </c>
      <c r="H192" s="104">
        <f t="shared" si="10"/>
        <v>0</v>
      </c>
      <c r="I192" s="112" t="s">
        <v>1365</v>
      </c>
      <c r="J192" s="102" t="s">
        <v>1366</v>
      </c>
      <c r="K192" s="136" t="s">
        <v>1367</v>
      </c>
      <c r="L192" s="136" t="s">
        <v>49</v>
      </c>
      <c r="M192" s="136" t="s">
        <v>847</v>
      </c>
      <c r="N192" s="104">
        <v>1</v>
      </c>
      <c r="O192" s="102"/>
    </row>
    <row r="193" spans="1:15" ht="13.8" x14ac:dyDescent="0.3">
      <c r="A193" s="109" t="s">
        <v>62</v>
      </c>
      <c r="B193" s="22" t="s">
        <v>63</v>
      </c>
      <c r="C193" s="6" t="s">
        <v>138</v>
      </c>
      <c r="D193" s="158" t="s">
        <v>566</v>
      </c>
      <c r="E193" s="255"/>
      <c r="F193" s="104">
        <v>1</v>
      </c>
      <c r="G193" s="104">
        <v>1</v>
      </c>
      <c r="H193" s="104">
        <f t="shared" si="10"/>
        <v>0</v>
      </c>
      <c r="I193" s="112" t="s">
        <v>1368</v>
      </c>
      <c r="J193" s="102" t="s">
        <v>1369</v>
      </c>
      <c r="K193" s="136" t="s">
        <v>1370</v>
      </c>
      <c r="L193" s="136" t="s">
        <v>49</v>
      </c>
      <c r="M193" s="136" t="s">
        <v>1017</v>
      </c>
      <c r="N193" s="104">
        <v>1</v>
      </c>
      <c r="O193" s="102"/>
    </row>
    <row r="194" spans="1:15" ht="13.8" x14ac:dyDescent="0.3">
      <c r="A194" s="109" t="s">
        <v>62</v>
      </c>
      <c r="B194" s="22" t="s">
        <v>63</v>
      </c>
      <c r="C194" s="6" t="s">
        <v>138</v>
      </c>
      <c r="D194" s="28" t="s">
        <v>567</v>
      </c>
      <c r="E194" s="248" t="s">
        <v>1371</v>
      </c>
      <c r="F194" s="104">
        <v>1</v>
      </c>
      <c r="G194" s="104">
        <v>1</v>
      </c>
      <c r="H194" s="104">
        <f t="shared" si="10"/>
        <v>0</v>
      </c>
      <c r="I194" s="112" t="s">
        <v>1372</v>
      </c>
      <c r="J194" s="102" t="s">
        <v>1373</v>
      </c>
      <c r="K194" s="136" t="s">
        <v>1374</v>
      </c>
      <c r="L194" s="136" t="s">
        <v>49</v>
      </c>
      <c r="M194" s="136" t="s">
        <v>855</v>
      </c>
      <c r="N194" s="104">
        <v>1</v>
      </c>
      <c r="O194" s="102"/>
    </row>
    <row r="195" spans="1:15" ht="13.8" x14ac:dyDescent="0.3">
      <c r="A195" s="109" t="s">
        <v>62</v>
      </c>
      <c r="B195" s="22" t="s">
        <v>63</v>
      </c>
      <c r="C195" s="6" t="s">
        <v>138</v>
      </c>
      <c r="D195" s="158" t="s">
        <v>567</v>
      </c>
      <c r="E195" s="255"/>
      <c r="F195" s="104">
        <v>1</v>
      </c>
      <c r="G195" s="104">
        <v>1</v>
      </c>
      <c r="H195" s="104">
        <f t="shared" si="10"/>
        <v>0</v>
      </c>
      <c r="I195" s="112" t="s">
        <v>1375</v>
      </c>
      <c r="J195" s="102" t="s">
        <v>1376</v>
      </c>
      <c r="K195" s="136" t="s">
        <v>1377</v>
      </c>
      <c r="L195" s="136" t="s">
        <v>49</v>
      </c>
      <c r="M195" s="136" t="s">
        <v>939</v>
      </c>
      <c r="N195" s="104">
        <v>1</v>
      </c>
      <c r="O195" s="102"/>
    </row>
    <row r="196" spans="1:15" ht="13.8" x14ac:dyDescent="0.3">
      <c r="A196" s="109" t="s">
        <v>62</v>
      </c>
      <c r="B196" s="22" t="s">
        <v>63</v>
      </c>
      <c r="C196" s="6" t="s">
        <v>138</v>
      </c>
      <c r="D196" s="158" t="s">
        <v>567</v>
      </c>
      <c r="E196" s="255"/>
      <c r="F196" s="104">
        <v>1</v>
      </c>
      <c r="G196" s="104">
        <v>1</v>
      </c>
      <c r="H196" s="104">
        <f t="shared" si="10"/>
        <v>0</v>
      </c>
      <c r="I196" s="112" t="s">
        <v>1378</v>
      </c>
      <c r="J196" s="102" t="s">
        <v>1379</v>
      </c>
      <c r="K196" s="136" t="s">
        <v>1380</v>
      </c>
      <c r="L196" s="136" t="s">
        <v>49</v>
      </c>
      <c r="M196" s="136" t="s">
        <v>926</v>
      </c>
      <c r="N196" s="104">
        <v>1</v>
      </c>
      <c r="O196" s="102"/>
    </row>
    <row r="197" spans="1:15" ht="13.8" x14ac:dyDescent="0.3">
      <c r="A197" s="109" t="s">
        <v>62</v>
      </c>
      <c r="B197" s="22" t="s">
        <v>63</v>
      </c>
      <c r="C197" s="6" t="s">
        <v>138</v>
      </c>
      <c r="D197" s="158" t="s">
        <v>567</v>
      </c>
      <c r="E197" s="255"/>
      <c r="F197" s="104">
        <v>1</v>
      </c>
      <c r="G197" s="104">
        <v>1</v>
      </c>
      <c r="H197" s="104">
        <f t="shared" si="10"/>
        <v>0</v>
      </c>
      <c r="I197" s="112" t="s">
        <v>1381</v>
      </c>
      <c r="J197" s="102" t="s">
        <v>1382</v>
      </c>
      <c r="K197" s="136" t="s">
        <v>1383</v>
      </c>
      <c r="L197" s="136" t="s">
        <v>49</v>
      </c>
      <c r="M197" s="136" t="s">
        <v>866</v>
      </c>
      <c r="N197" s="104">
        <v>1</v>
      </c>
      <c r="O197" s="102"/>
    </row>
    <row r="198" spans="1:15" ht="13.8" x14ac:dyDescent="0.3">
      <c r="A198" s="109" t="s">
        <v>62</v>
      </c>
      <c r="B198" s="22" t="s">
        <v>63</v>
      </c>
      <c r="C198" s="6" t="s">
        <v>138</v>
      </c>
      <c r="D198" s="28" t="s">
        <v>568</v>
      </c>
      <c r="E198" s="248" t="s">
        <v>1384</v>
      </c>
      <c r="F198" s="104">
        <v>1</v>
      </c>
      <c r="G198" s="104">
        <v>1</v>
      </c>
      <c r="H198" s="104">
        <f t="shared" si="10"/>
        <v>0</v>
      </c>
      <c r="I198" s="112" t="s">
        <v>1385</v>
      </c>
      <c r="J198" s="102" t="s">
        <v>1386</v>
      </c>
      <c r="K198" s="136" t="s">
        <v>1387</v>
      </c>
      <c r="L198" s="136" t="s">
        <v>29</v>
      </c>
      <c r="M198" s="136" t="s">
        <v>866</v>
      </c>
      <c r="N198" s="104">
        <v>1</v>
      </c>
      <c r="O198" s="102"/>
    </row>
    <row r="199" spans="1:15" ht="13.8" x14ac:dyDescent="0.3">
      <c r="A199" s="109" t="s">
        <v>62</v>
      </c>
      <c r="B199" s="22" t="s">
        <v>63</v>
      </c>
      <c r="C199" s="6" t="s">
        <v>138</v>
      </c>
      <c r="D199" s="158" t="s">
        <v>568</v>
      </c>
      <c r="E199" s="255"/>
      <c r="F199" s="104">
        <v>1</v>
      </c>
      <c r="G199" s="104">
        <v>1</v>
      </c>
      <c r="H199" s="104">
        <f t="shared" si="10"/>
        <v>0</v>
      </c>
      <c r="I199" s="112" t="s">
        <v>1089</v>
      </c>
      <c r="J199" s="102" t="s">
        <v>1090</v>
      </c>
      <c r="K199" s="136" t="s">
        <v>1091</v>
      </c>
      <c r="L199" s="136" t="s">
        <v>49</v>
      </c>
      <c r="M199" s="136" t="s">
        <v>847</v>
      </c>
      <c r="N199" s="104">
        <v>1</v>
      </c>
      <c r="O199" s="102"/>
    </row>
    <row r="200" spans="1:15" s="128" customFormat="1" ht="13.8" x14ac:dyDescent="0.3">
      <c r="A200" s="125" t="s">
        <v>62</v>
      </c>
      <c r="B200" s="21" t="s">
        <v>64</v>
      </c>
      <c r="C200" s="6" t="s">
        <v>139</v>
      </c>
      <c r="D200" s="28" t="s">
        <v>569</v>
      </c>
      <c r="E200" s="248" t="s">
        <v>1388</v>
      </c>
      <c r="F200" s="104">
        <v>1</v>
      </c>
      <c r="G200" s="104">
        <v>1</v>
      </c>
      <c r="H200" s="104">
        <f>F200-G200</f>
        <v>0</v>
      </c>
      <c r="I200" s="112" t="s">
        <v>1389</v>
      </c>
      <c r="J200" s="125" t="s">
        <v>1390</v>
      </c>
      <c r="K200" s="136" t="s">
        <v>1091</v>
      </c>
      <c r="L200" s="125" t="s">
        <v>49</v>
      </c>
      <c r="M200" s="125" t="s">
        <v>847</v>
      </c>
      <c r="N200" s="104">
        <v>1</v>
      </c>
      <c r="O200" s="125"/>
    </row>
    <row r="201" spans="1:15" s="128" customFormat="1" ht="13.8" x14ac:dyDescent="0.3">
      <c r="A201" s="125" t="s">
        <v>62</v>
      </c>
      <c r="B201" s="21" t="s">
        <v>64</v>
      </c>
      <c r="C201" s="6" t="s">
        <v>139</v>
      </c>
      <c r="D201" s="169" t="s">
        <v>569</v>
      </c>
      <c r="E201" s="248"/>
      <c r="F201" s="104">
        <v>1</v>
      </c>
      <c r="G201" s="104">
        <v>1</v>
      </c>
      <c r="H201" s="104">
        <f t="shared" ref="H201:H210" si="11">F201-G201</f>
        <v>0</v>
      </c>
      <c r="I201" s="112" t="s">
        <v>1391</v>
      </c>
      <c r="J201" s="125" t="s">
        <v>1392</v>
      </c>
      <c r="K201" s="136" t="s">
        <v>1393</v>
      </c>
      <c r="L201" s="125" t="s">
        <v>49</v>
      </c>
      <c r="M201" s="125" t="s">
        <v>1191</v>
      </c>
      <c r="N201" s="104">
        <v>1</v>
      </c>
      <c r="O201" s="125"/>
    </row>
    <row r="202" spans="1:15" s="128" customFormat="1" ht="13.8" x14ac:dyDescent="0.3">
      <c r="A202" s="125" t="s">
        <v>62</v>
      </c>
      <c r="B202" s="21" t="s">
        <v>64</v>
      </c>
      <c r="C202" s="6" t="s">
        <v>139</v>
      </c>
      <c r="D202" s="28" t="s">
        <v>570</v>
      </c>
      <c r="E202" s="104" t="s">
        <v>1394</v>
      </c>
      <c r="F202" s="104">
        <v>1</v>
      </c>
      <c r="G202" s="104">
        <v>1</v>
      </c>
      <c r="H202" s="104">
        <f t="shared" si="11"/>
        <v>0</v>
      </c>
      <c r="I202" s="112" t="s">
        <v>1395</v>
      </c>
      <c r="J202" s="142" t="s">
        <v>1396</v>
      </c>
      <c r="K202" s="170" t="s">
        <v>1397</v>
      </c>
      <c r="L202" s="142" t="s">
        <v>52</v>
      </c>
      <c r="M202" s="142" t="s">
        <v>926</v>
      </c>
      <c r="N202" s="104">
        <v>1</v>
      </c>
      <c r="O202" s="125"/>
    </row>
    <row r="203" spans="1:15" s="128" customFormat="1" ht="13.8" x14ac:dyDescent="0.3">
      <c r="A203" s="125" t="s">
        <v>62</v>
      </c>
      <c r="B203" s="21" t="s">
        <v>64</v>
      </c>
      <c r="C203" s="6" t="s">
        <v>139</v>
      </c>
      <c r="D203" s="28" t="s">
        <v>571</v>
      </c>
      <c r="E203" s="248" t="s">
        <v>1398</v>
      </c>
      <c r="F203" s="104">
        <v>1</v>
      </c>
      <c r="G203" s="104">
        <v>1</v>
      </c>
      <c r="H203" s="104">
        <f t="shared" si="11"/>
        <v>0</v>
      </c>
      <c r="I203" s="112" t="s">
        <v>1399</v>
      </c>
      <c r="J203" s="125" t="s">
        <v>1400</v>
      </c>
      <c r="K203" s="136" t="s">
        <v>1137</v>
      </c>
      <c r="L203" s="125" t="s">
        <v>49</v>
      </c>
      <c r="M203" s="125" t="s">
        <v>847</v>
      </c>
      <c r="N203" s="104">
        <v>1</v>
      </c>
      <c r="O203" s="125"/>
    </row>
    <row r="204" spans="1:15" s="128" customFormat="1" ht="13.8" x14ac:dyDescent="0.3">
      <c r="A204" s="125" t="s">
        <v>62</v>
      </c>
      <c r="B204" s="21" t="s">
        <v>64</v>
      </c>
      <c r="C204" s="6" t="s">
        <v>139</v>
      </c>
      <c r="D204" s="169" t="s">
        <v>571</v>
      </c>
      <c r="E204" s="249"/>
      <c r="F204" s="104">
        <v>1</v>
      </c>
      <c r="G204" s="104">
        <v>1</v>
      </c>
      <c r="H204" s="104">
        <f t="shared" si="11"/>
        <v>0</v>
      </c>
      <c r="I204" s="112" t="s">
        <v>1221</v>
      </c>
      <c r="J204" s="125" t="s">
        <v>1222</v>
      </c>
      <c r="K204" s="136" t="s">
        <v>1223</v>
      </c>
      <c r="L204" s="125" t="s">
        <v>49</v>
      </c>
      <c r="M204" s="125" t="s">
        <v>939</v>
      </c>
      <c r="N204" s="104">
        <v>1</v>
      </c>
      <c r="O204" s="125"/>
    </row>
    <row r="205" spans="1:15" s="128" customFormat="1" ht="13.8" x14ac:dyDescent="0.3">
      <c r="A205" s="125" t="s">
        <v>62</v>
      </c>
      <c r="B205" s="21" t="s">
        <v>64</v>
      </c>
      <c r="C205" s="6" t="s">
        <v>139</v>
      </c>
      <c r="D205" s="28" t="s">
        <v>572</v>
      </c>
      <c r="E205" s="248" t="s">
        <v>1401</v>
      </c>
      <c r="F205" s="104">
        <v>1</v>
      </c>
      <c r="G205" s="104">
        <v>1</v>
      </c>
      <c r="H205" s="104">
        <f t="shared" si="11"/>
        <v>0</v>
      </c>
      <c r="I205" s="112" t="s">
        <v>1402</v>
      </c>
      <c r="J205" s="125" t="s">
        <v>1403</v>
      </c>
      <c r="K205" s="136" t="s">
        <v>1404</v>
      </c>
      <c r="L205" s="125" t="s">
        <v>49</v>
      </c>
      <c r="M205" s="125" t="s">
        <v>866</v>
      </c>
      <c r="N205" s="104">
        <v>1</v>
      </c>
      <c r="O205" s="125"/>
    </row>
    <row r="206" spans="1:15" s="128" customFormat="1" ht="13.8" x14ac:dyDescent="0.3">
      <c r="A206" s="125" t="s">
        <v>62</v>
      </c>
      <c r="B206" s="21" t="s">
        <v>64</v>
      </c>
      <c r="C206" s="6" t="s">
        <v>139</v>
      </c>
      <c r="D206" s="169" t="s">
        <v>572</v>
      </c>
      <c r="E206" s="249"/>
      <c r="F206" s="104">
        <v>1</v>
      </c>
      <c r="G206" s="104">
        <v>1</v>
      </c>
      <c r="H206" s="104">
        <f t="shared" si="11"/>
        <v>0</v>
      </c>
      <c r="I206" s="171"/>
      <c r="J206" s="171" t="s">
        <v>1405</v>
      </c>
      <c r="K206" s="136"/>
      <c r="L206" s="125"/>
      <c r="M206" s="125" t="s">
        <v>1406</v>
      </c>
      <c r="N206" s="104">
        <v>1</v>
      </c>
      <c r="O206" s="125"/>
    </row>
    <row r="207" spans="1:15" s="128" customFormat="1" ht="13.8" x14ac:dyDescent="0.3">
      <c r="A207" s="125" t="s">
        <v>62</v>
      </c>
      <c r="B207" s="21" t="s">
        <v>64</v>
      </c>
      <c r="C207" s="6" t="s">
        <v>139</v>
      </c>
      <c r="D207" s="28" t="s">
        <v>573</v>
      </c>
      <c r="E207" s="248" t="s">
        <v>1407</v>
      </c>
      <c r="F207" s="104">
        <v>1</v>
      </c>
      <c r="G207" s="104">
        <v>1</v>
      </c>
      <c r="H207" s="104">
        <f t="shared" si="11"/>
        <v>0</v>
      </c>
      <c r="I207" s="112" t="s">
        <v>1408</v>
      </c>
      <c r="J207" s="125" t="s">
        <v>1409</v>
      </c>
      <c r="K207" s="136" t="s">
        <v>1410</v>
      </c>
      <c r="L207" s="125" t="s">
        <v>49</v>
      </c>
      <c r="M207" s="125" t="s">
        <v>866</v>
      </c>
      <c r="N207" s="104">
        <v>1</v>
      </c>
      <c r="O207" s="125"/>
    </row>
    <row r="208" spans="1:15" s="128" customFormat="1" ht="13.8" x14ac:dyDescent="0.3">
      <c r="A208" s="125" t="s">
        <v>62</v>
      </c>
      <c r="B208" s="21" t="s">
        <v>64</v>
      </c>
      <c r="C208" s="6" t="s">
        <v>139</v>
      </c>
      <c r="D208" s="169" t="s">
        <v>573</v>
      </c>
      <c r="E208" s="249"/>
      <c r="F208" s="104">
        <v>1</v>
      </c>
      <c r="G208" s="104">
        <v>1</v>
      </c>
      <c r="H208" s="104">
        <f t="shared" si="11"/>
        <v>0</v>
      </c>
      <c r="I208" s="112" t="s">
        <v>1411</v>
      </c>
      <c r="J208" s="142" t="s">
        <v>1412</v>
      </c>
      <c r="K208" s="136" t="s">
        <v>1413</v>
      </c>
      <c r="L208" s="125" t="s">
        <v>49</v>
      </c>
      <c r="M208" s="125" t="s">
        <v>847</v>
      </c>
      <c r="N208" s="104">
        <v>1</v>
      </c>
      <c r="O208" s="125"/>
    </row>
    <row r="209" spans="1:15" s="128" customFormat="1" ht="13.8" x14ac:dyDescent="0.3">
      <c r="A209" s="125" t="s">
        <v>62</v>
      </c>
      <c r="B209" s="21" t="s">
        <v>64</v>
      </c>
      <c r="C209" s="6" t="s">
        <v>139</v>
      </c>
      <c r="D209" s="28" t="s">
        <v>574</v>
      </c>
      <c r="E209" s="248" t="s">
        <v>1414</v>
      </c>
      <c r="F209" s="104">
        <v>1</v>
      </c>
      <c r="G209" s="104">
        <v>1</v>
      </c>
      <c r="H209" s="104">
        <f t="shared" si="11"/>
        <v>0</v>
      </c>
      <c r="I209" s="112" t="s">
        <v>1415</v>
      </c>
      <c r="J209" s="125" t="s">
        <v>1416</v>
      </c>
      <c r="K209" s="136" t="s">
        <v>1417</v>
      </c>
      <c r="L209" s="125" t="s">
        <v>49</v>
      </c>
      <c r="M209" s="125" t="s">
        <v>1052</v>
      </c>
      <c r="N209" s="104">
        <v>1</v>
      </c>
      <c r="O209" s="125"/>
    </row>
    <row r="210" spans="1:15" s="128" customFormat="1" ht="13.8" x14ac:dyDescent="0.3">
      <c r="A210" s="125" t="s">
        <v>62</v>
      </c>
      <c r="B210" s="21" t="s">
        <v>64</v>
      </c>
      <c r="C210" s="6" t="s">
        <v>139</v>
      </c>
      <c r="D210" s="169" t="s">
        <v>574</v>
      </c>
      <c r="E210" s="249"/>
      <c r="F210" s="104">
        <v>1</v>
      </c>
      <c r="G210" s="104">
        <v>1</v>
      </c>
      <c r="H210" s="104">
        <f t="shared" si="11"/>
        <v>0</v>
      </c>
      <c r="I210" s="112" t="s">
        <v>1418</v>
      </c>
      <c r="J210" s="125" t="s">
        <v>1419</v>
      </c>
      <c r="K210" s="136" t="s">
        <v>1413</v>
      </c>
      <c r="L210" s="125" t="s">
        <v>49</v>
      </c>
      <c r="M210" s="125" t="s">
        <v>847</v>
      </c>
      <c r="N210" s="104">
        <v>1</v>
      </c>
      <c r="O210" s="125"/>
    </row>
    <row r="211" spans="1:15" ht="14.25" customHeight="1" x14ac:dyDescent="0.3">
      <c r="A211" s="125" t="s">
        <v>62</v>
      </c>
      <c r="B211" s="21" t="s">
        <v>65</v>
      </c>
      <c r="C211" s="6" t="s">
        <v>140</v>
      </c>
      <c r="D211" s="26" t="s">
        <v>575</v>
      </c>
      <c r="E211" s="126" t="s">
        <v>1420</v>
      </c>
      <c r="F211" s="104">
        <v>1</v>
      </c>
      <c r="G211" s="104">
        <v>1</v>
      </c>
      <c r="H211" s="104">
        <f>F211-G211</f>
        <v>0</v>
      </c>
      <c r="I211" s="102" t="s">
        <v>1421</v>
      </c>
      <c r="J211" s="102"/>
      <c r="K211" s="102"/>
      <c r="L211" s="102"/>
      <c r="M211" s="104">
        <v>1</v>
      </c>
      <c r="N211" s="102"/>
    </row>
    <row r="212" spans="1:15" ht="14.25" customHeight="1" x14ac:dyDescent="0.3">
      <c r="A212" s="125" t="s">
        <v>62</v>
      </c>
      <c r="B212" s="21" t="s">
        <v>65</v>
      </c>
      <c r="C212" s="6" t="s">
        <v>140</v>
      </c>
      <c r="D212" s="26" t="s">
        <v>576</v>
      </c>
      <c r="E212" s="247" t="s">
        <v>1422</v>
      </c>
      <c r="F212" s="104">
        <v>1</v>
      </c>
      <c r="G212" s="104">
        <v>1</v>
      </c>
      <c r="H212" s="104">
        <f t="shared" ref="H212:H226" si="12">F212-G212</f>
        <v>0</v>
      </c>
      <c r="I212" s="102" t="s">
        <v>1423</v>
      </c>
      <c r="J212" s="102"/>
      <c r="K212" s="102"/>
      <c r="L212" s="102"/>
      <c r="M212" s="104">
        <v>1</v>
      </c>
      <c r="N212" s="102"/>
    </row>
    <row r="213" spans="1:15" ht="14.25" customHeight="1" x14ac:dyDescent="0.3">
      <c r="A213" s="125" t="s">
        <v>62</v>
      </c>
      <c r="B213" s="21" t="s">
        <v>65</v>
      </c>
      <c r="C213" s="6" t="s">
        <v>140</v>
      </c>
      <c r="D213" s="158" t="s">
        <v>576</v>
      </c>
      <c r="E213" s="247"/>
      <c r="F213" s="104">
        <v>1</v>
      </c>
      <c r="G213" s="129">
        <v>0</v>
      </c>
      <c r="H213" s="129">
        <f t="shared" si="12"/>
        <v>1</v>
      </c>
      <c r="I213" s="172" t="s">
        <v>27</v>
      </c>
      <c r="J213" s="102"/>
      <c r="K213" s="102"/>
      <c r="L213" s="102"/>
      <c r="M213" s="104">
        <v>0</v>
      </c>
      <c r="N213" s="102"/>
    </row>
    <row r="214" spans="1:15" ht="14.25" customHeight="1" x14ac:dyDescent="0.3">
      <c r="A214" s="125" t="s">
        <v>62</v>
      </c>
      <c r="B214" s="21" t="s">
        <v>65</v>
      </c>
      <c r="C214" s="6" t="s">
        <v>140</v>
      </c>
      <c r="D214" s="26" t="s">
        <v>577</v>
      </c>
      <c r="E214" s="247" t="s">
        <v>1424</v>
      </c>
      <c r="F214" s="104">
        <v>1</v>
      </c>
      <c r="G214" s="104">
        <v>1</v>
      </c>
      <c r="H214" s="104">
        <f t="shared" si="12"/>
        <v>0</v>
      </c>
      <c r="I214" s="102" t="s">
        <v>1425</v>
      </c>
      <c r="J214" s="102"/>
      <c r="K214" s="102"/>
      <c r="L214" s="102"/>
      <c r="M214" s="104">
        <v>1</v>
      </c>
      <c r="N214" s="102"/>
    </row>
    <row r="215" spans="1:15" ht="14.25" customHeight="1" x14ac:dyDescent="0.3">
      <c r="A215" s="125" t="s">
        <v>62</v>
      </c>
      <c r="B215" s="21" t="s">
        <v>65</v>
      </c>
      <c r="C215" s="6" t="s">
        <v>140</v>
      </c>
      <c r="D215" s="158" t="s">
        <v>577</v>
      </c>
      <c r="E215" s="247"/>
      <c r="F215" s="104">
        <v>1</v>
      </c>
      <c r="G215" s="129">
        <v>0</v>
      </c>
      <c r="H215" s="129">
        <f t="shared" si="12"/>
        <v>1</v>
      </c>
      <c r="I215" s="172" t="s">
        <v>27</v>
      </c>
      <c r="J215" s="102"/>
      <c r="K215" s="102"/>
      <c r="L215" s="102"/>
      <c r="M215" s="104">
        <v>0</v>
      </c>
      <c r="N215" s="102"/>
    </row>
    <row r="216" spans="1:15" ht="14.25" customHeight="1" x14ac:dyDescent="0.3">
      <c r="A216" s="125" t="s">
        <v>62</v>
      </c>
      <c r="B216" s="21" t="s">
        <v>65</v>
      </c>
      <c r="C216" s="6" t="s">
        <v>140</v>
      </c>
      <c r="D216" s="26" t="s">
        <v>578</v>
      </c>
      <c r="E216" s="247" t="s">
        <v>1426</v>
      </c>
      <c r="F216" s="104">
        <v>1</v>
      </c>
      <c r="G216" s="104">
        <v>1</v>
      </c>
      <c r="H216" s="104">
        <f t="shared" si="12"/>
        <v>0</v>
      </c>
      <c r="I216" s="102" t="s">
        <v>1427</v>
      </c>
      <c r="J216" s="102"/>
      <c r="K216" s="102"/>
      <c r="L216" s="102"/>
      <c r="M216" s="104">
        <v>1</v>
      </c>
      <c r="N216" s="102"/>
    </row>
    <row r="217" spans="1:15" ht="14.25" customHeight="1" x14ac:dyDescent="0.3">
      <c r="A217" s="125" t="s">
        <v>62</v>
      </c>
      <c r="B217" s="21" t="s">
        <v>65</v>
      </c>
      <c r="C217" s="6" t="s">
        <v>140</v>
      </c>
      <c r="D217" s="158" t="s">
        <v>578</v>
      </c>
      <c r="E217" s="247"/>
      <c r="F217" s="104">
        <v>1</v>
      </c>
      <c r="G217" s="129">
        <v>0</v>
      </c>
      <c r="H217" s="129">
        <f t="shared" si="12"/>
        <v>1</v>
      </c>
      <c r="I217" s="172" t="s">
        <v>27</v>
      </c>
      <c r="J217" s="102"/>
      <c r="K217" s="102"/>
      <c r="L217" s="102"/>
      <c r="M217" s="104">
        <v>0</v>
      </c>
      <c r="N217" s="102"/>
    </row>
    <row r="218" spans="1:15" ht="14.25" customHeight="1" x14ac:dyDescent="0.3">
      <c r="A218" s="125" t="s">
        <v>62</v>
      </c>
      <c r="B218" s="21" t="s">
        <v>65</v>
      </c>
      <c r="C218" s="6" t="s">
        <v>140</v>
      </c>
      <c r="D218" s="26" t="s">
        <v>579</v>
      </c>
      <c r="E218" s="247" t="s">
        <v>1428</v>
      </c>
      <c r="F218" s="104">
        <v>1</v>
      </c>
      <c r="G218" s="104">
        <v>1</v>
      </c>
      <c r="H218" s="104">
        <f t="shared" si="12"/>
        <v>0</v>
      </c>
      <c r="I218" s="102" t="s">
        <v>1429</v>
      </c>
      <c r="J218" s="102"/>
      <c r="K218" s="102"/>
      <c r="L218" s="102"/>
      <c r="M218" s="104">
        <v>1</v>
      </c>
      <c r="N218" s="102"/>
    </row>
    <row r="219" spans="1:15" ht="14.25" customHeight="1" x14ac:dyDescent="0.3">
      <c r="A219" s="125" t="s">
        <v>62</v>
      </c>
      <c r="B219" s="21" t="s">
        <v>65</v>
      </c>
      <c r="C219" s="6" t="s">
        <v>140</v>
      </c>
      <c r="D219" s="158" t="s">
        <v>579</v>
      </c>
      <c r="E219" s="247"/>
      <c r="F219" s="104">
        <v>1</v>
      </c>
      <c r="G219" s="129">
        <v>0</v>
      </c>
      <c r="H219" s="129">
        <f t="shared" si="12"/>
        <v>1</v>
      </c>
      <c r="I219" s="172" t="s">
        <v>27</v>
      </c>
      <c r="J219" s="102"/>
      <c r="K219" s="102"/>
      <c r="L219" s="102"/>
      <c r="M219" s="104">
        <v>0</v>
      </c>
      <c r="N219" s="102"/>
    </row>
    <row r="220" spans="1:15" ht="14.25" customHeight="1" x14ac:dyDescent="0.3">
      <c r="A220" s="125" t="s">
        <v>62</v>
      </c>
      <c r="B220" s="21" t="s">
        <v>65</v>
      </c>
      <c r="C220" s="6" t="s">
        <v>140</v>
      </c>
      <c r="D220" s="26" t="s">
        <v>580</v>
      </c>
      <c r="E220" s="247" t="s">
        <v>1430</v>
      </c>
      <c r="F220" s="104">
        <v>1</v>
      </c>
      <c r="G220" s="104">
        <v>1</v>
      </c>
      <c r="H220" s="104">
        <f t="shared" si="12"/>
        <v>0</v>
      </c>
      <c r="I220" s="102" t="s">
        <v>1431</v>
      </c>
      <c r="J220" s="102"/>
      <c r="K220" s="102"/>
      <c r="L220" s="102"/>
      <c r="M220" s="104">
        <v>1</v>
      </c>
      <c r="N220" s="102"/>
    </row>
    <row r="221" spans="1:15" ht="14.25" customHeight="1" x14ac:dyDescent="0.3">
      <c r="A221" s="125" t="s">
        <v>62</v>
      </c>
      <c r="B221" s="21" t="s">
        <v>65</v>
      </c>
      <c r="C221" s="6" t="s">
        <v>140</v>
      </c>
      <c r="D221" s="158" t="s">
        <v>580</v>
      </c>
      <c r="E221" s="247"/>
      <c r="F221" s="104">
        <v>1</v>
      </c>
      <c r="G221" s="129">
        <v>0</v>
      </c>
      <c r="H221" s="129">
        <f t="shared" si="12"/>
        <v>1</v>
      </c>
      <c r="I221" s="172" t="s">
        <v>27</v>
      </c>
      <c r="J221" s="102"/>
      <c r="K221" s="102"/>
      <c r="L221" s="102"/>
      <c r="M221" s="104">
        <v>0</v>
      </c>
      <c r="N221" s="102"/>
    </row>
    <row r="222" spans="1:15" ht="14.25" customHeight="1" x14ac:dyDescent="0.3">
      <c r="A222" s="125" t="s">
        <v>62</v>
      </c>
      <c r="B222" s="21" t="s">
        <v>65</v>
      </c>
      <c r="C222" s="6" t="s">
        <v>140</v>
      </c>
      <c r="D222" s="26" t="s">
        <v>581</v>
      </c>
      <c r="E222" s="247" t="s">
        <v>1432</v>
      </c>
      <c r="F222" s="104">
        <v>1</v>
      </c>
      <c r="G222" s="104">
        <v>1</v>
      </c>
      <c r="H222" s="104">
        <f t="shared" si="12"/>
        <v>0</v>
      </c>
      <c r="I222" s="102" t="s">
        <v>1433</v>
      </c>
      <c r="J222" s="102"/>
      <c r="K222" s="102"/>
      <c r="L222" s="102"/>
      <c r="M222" s="104">
        <v>1</v>
      </c>
      <c r="N222" s="102"/>
    </row>
    <row r="223" spans="1:15" ht="14.25" customHeight="1" x14ac:dyDescent="0.3">
      <c r="A223" s="125" t="s">
        <v>62</v>
      </c>
      <c r="B223" s="21" t="s">
        <v>65</v>
      </c>
      <c r="C223" s="6" t="s">
        <v>140</v>
      </c>
      <c r="D223" s="158" t="s">
        <v>581</v>
      </c>
      <c r="E223" s="247"/>
      <c r="F223" s="104">
        <v>1</v>
      </c>
      <c r="G223" s="129">
        <v>0</v>
      </c>
      <c r="H223" s="129">
        <f t="shared" si="12"/>
        <v>1</v>
      </c>
      <c r="I223" s="172" t="s">
        <v>27</v>
      </c>
      <c r="J223" s="102"/>
      <c r="K223" s="102"/>
      <c r="L223" s="102"/>
      <c r="M223" s="104">
        <v>0</v>
      </c>
      <c r="N223" s="102"/>
    </row>
    <row r="224" spans="1:15" ht="14.25" customHeight="1" x14ac:dyDescent="0.3">
      <c r="A224" s="125" t="s">
        <v>62</v>
      </c>
      <c r="B224" s="21" t="s">
        <v>65</v>
      </c>
      <c r="C224" s="6" t="s">
        <v>140</v>
      </c>
      <c r="D224" s="26" t="s">
        <v>582</v>
      </c>
      <c r="E224" s="247" t="s">
        <v>1434</v>
      </c>
      <c r="F224" s="104">
        <v>1</v>
      </c>
      <c r="G224" s="104">
        <v>1</v>
      </c>
      <c r="H224" s="104">
        <f t="shared" si="12"/>
        <v>0</v>
      </c>
      <c r="I224" s="102" t="s">
        <v>1435</v>
      </c>
      <c r="J224" s="125"/>
      <c r="K224" s="102"/>
      <c r="L224" s="102"/>
      <c r="M224" s="104">
        <v>1</v>
      </c>
      <c r="N224" s="102"/>
    </row>
    <row r="225" spans="1:14" ht="14.25" customHeight="1" x14ac:dyDescent="0.3">
      <c r="A225" s="125" t="s">
        <v>62</v>
      </c>
      <c r="B225" s="21" t="s">
        <v>65</v>
      </c>
      <c r="C225" s="6" t="s">
        <v>140</v>
      </c>
      <c r="D225" s="26" t="s">
        <v>582</v>
      </c>
      <c r="E225" s="247"/>
      <c r="F225" s="104">
        <v>1</v>
      </c>
      <c r="G225" s="129">
        <v>0</v>
      </c>
      <c r="H225" s="129">
        <f t="shared" si="12"/>
        <v>1</v>
      </c>
      <c r="I225" s="172" t="s">
        <v>27</v>
      </c>
      <c r="J225" s="125"/>
      <c r="K225" s="102"/>
      <c r="L225" s="102"/>
      <c r="M225" s="104">
        <v>0</v>
      </c>
      <c r="N225" s="102"/>
    </row>
    <row r="226" spans="1:14" ht="14.25" customHeight="1" x14ac:dyDescent="0.3">
      <c r="A226" s="125" t="s">
        <v>62</v>
      </c>
      <c r="B226" s="21" t="s">
        <v>65</v>
      </c>
      <c r="C226" s="6" t="s">
        <v>140</v>
      </c>
      <c r="D226" s="26" t="s">
        <v>582</v>
      </c>
      <c r="E226" s="247"/>
      <c r="F226" s="104">
        <v>1</v>
      </c>
      <c r="G226" s="129">
        <v>0</v>
      </c>
      <c r="H226" s="129">
        <f t="shared" si="12"/>
        <v>1</v>
      </c>
      <c r="I226" s="172" t="s">
        <v>27</v>
      </c>
      <c r="J226" s="125"/>
      <c r="K226" s="102"/>
      <c r="L226" s="102"/>
      <c r="M226" s="104">
        <v>0</v>
      </c>
      <c r="N226" s="102"/>
    </row>
    <row r="227" spans="1:14" ht="14.25" customHeight="1" x14ac:dyDescent="0.3">
      <c r="A227" s="125" t="s">
        <v>62</v>
      </c>
      <c r="B227" s="21" t="s">
        <v>66</v>
      </c>
      <c r="C227" s="6" t="s">
        <v>141</v>
      </c>
      <c r="D227" s="26" t="s">
        <v>583</v>
      </c>
      <c r="E227" s="247" t="s">
        <v>1436</v>
      </c>
      <c r="F227" s="104">
        <v>1</v>
      </c>
      <c r="G227" s="104">
        <v>1</v>
      </c>
      <c r="H227" s="104">
        <f>F227-G227</f>
        <v>0</v>
      </c>
      <c r="I227" s="125" t="s">
        <v>1437</v>
      </c>
      <c r="J227" s="102"/>
      <c r="K227" s="104"/>
      <c r="L227" s="102"/>
      <c r="M227" s="104">
        <v>1</v>
      </c>
      <c r="N227" s="102"/>
    </row>
    <row r="228" spans="1:14" ht="14.25" customHeight="1" x14ac:dyDescent="0.3">
      <c r="A228" s="125" t="s">
        <v>62</v>
      </c>
      <c r="B228" s="21" t="s">
        <v>66</v>
      </c>
      <c r="C228" s="6" t="s">
        <v>141</v>
      </c>
      <c r="D228" s="158" t="s">
        <v>583</v>
      </c>
      <c r="E228" s="247"/>
      <c r="F228" s="104">
        <v>1</v>
      </c>
      <c r="G228" s="129">
        <v>0</v>
      </c>
      <c r="H228" s="129">
        <f t="shared" ref="H228:H241" si="13">F228-G228</f>
        <v>1</v>
      </c>
      <c r="I228" s="130" t="s">
        <v>27</v>
      </c>
      <c r="J228" s="102"/>
      <c r="K228" s="104"/>
      <c r="L228" s="102"/>
      <c r="M228" s="129">
        <v>0</v>
      </c>
      <c r="N228" s="102"/>
    </row>
    <row r="229" spans="1:14" ht="14.25" customHeight="1" x14ac:dyDescent="0.3">
      <c r="A229" s="125" t="s">
        <v>62</v>
      </c>
      <c r="B229" s="21" t="s">
        <v>66</v>
      </c>
      <c r="C229" s="6" t="s">
        <v>141</v>
      </c>
      <c r="D229" s="26" t="s">
        <v>584</v>
      </c>
      <c r="E229" s="126" t="s">
        <v>1438</v>
      </c>
      <c r="F229" s="104">
        <v>1</v>
      </c>
      <c r="G229" s="104">
        <v>1</v>
      </c>
      <c r="H229" s="104">
        <f t="shared" si="13"/>
        <v>0</v>
      </c>
      <c r="I229" s="125" t="s">
        <v>1439</v>
      </c>
      <c r="J229" s="102"/>
      <c r="K229" s="104"/>
      <c r="L229" s="102"/>
      <c r="M229" s="104">
        <v>1</v>
      </c>
      <c r="N229" s="102"/>
    </row>
    <row r="230" spans="1:14" ht="14.25" customHeight="1" x14ac:dyDescent="0.3">
      <c r="A230" s="125" t="s">
        <v>62</v>
      </c>
      <c r="B230" s="21" t="s">
        <v>66</v>
      </c>
      <c r="C230" s="6" t="s">
        <v>141</v>
      </c>
      <c r="D230" s="26" t="s">
        <v>585</v>
      </c>
      <c r="E230" s="247" t="s">
        <v>1440</v>
      </c>
      <c r="F230" s="104">
        <v>1</v>
      </c>
      <c r="G230" s="104">
        <v>1</v>
      </c>
      <c r="H230" s="104">
        <f t="shared" si="13"/>
        <v>0</v>
      </c>
      <c r="I230" s="125" t="s">
        <v>1441</v>
      </c>
      <c r="J230" s="102"/>
      <c r="K230" s="104"/>
      <c r="L230" s="102"/>
      <c r="M230" s="104">
        <v>1</v>
      </c>
      <c r="N230" s="102"/>
    </row>
    <row r="231" spans="1:14" ht="14.25" customHeight="1" x14ac:dyDescent="0.3">
      <c r="A231" s="125" t="s">
        <v>62</v>
      </c>
      <c r="B231" s="21" t="s">
        <v>66</v>
      </c>
      <c r="C231" s="6" t="s">
        <v>141</v>
      </c>
      <c r="D231" s="158" t="s">
        <v>585</v>
      </c>
      <c r="E231" s="247"/>
      <c r="F231" s="104">
        <v>1</v>
      </c>
      <c r="G231" s="129">
        <v>0</v>
      </c>
      <c r="H231" s="129">
        <f t="shared" si="13"/>
        <v>1</v>
      </c>
      <c r="I231" s="130" t="s">
        <v>27</v>
      </c>
      <c r="J231" s="102"/>
      <c r="K231" s="104"/>
      <c r="L231" s="102"/>
      <c r="M231" s="129">
        <v>0</v>
      </c>
      <c r="N231" s="102"/>
    </row>
    <row r="232" spans="1:14" ht="14.25" customHeight="1" x14ac:dyDescent="0.3">
      <c r="A232" s="125" t="s">
        <v>62</v>
      </c>
      <c r="B232" s="21" t="s">
        <v>66</v>
      </c>
      <c r="C232" s="6" t="s">
        <v>141</v>
      </c>
      <c r="D232" s="26" t="s">
        <v>586</v>
      </c>
      <c r="E232" s="247" t="s">
        <v>1442</v>
      </c>
      <c r="F232" s="104">
        <v>1</v>
      </c>
      <c r="G232" s="104">
        <v>1</v>
      </c>
      <c r="H232" s="104">
        <f t="shared" si="13"/>
        <v>0</v>
      </c>
      <c r="I232" s="125" t="s">
        <v>1443</v>
      </c>
      <c r="J232" s="102"/>
      <c r="K232" s="104"/>
      <c r="L232" s="102"/>
      <c r="M232" s="104">
        <v>1</v>
      </c>
      <c r="N232" s="102"/>
    </row>
    <row r="233" spans="1:14" ht="14.25" customHeight="1" x14ac:dyDescent="0.3">
      <c r="A233" s="125" t="s">
        <v>62</v>
      </c>
      <c r="B233" s="21" t="s">
        <v>66</v>
      </c>
      <c r="C233" s="6" t="s">
        <v>141</v>
      </c>
      <c r="D233" s="158" t="s">
        <v>586</v>
      </c>
      <c r="E233" s="247"/>
      <c r="F233" s="104">
        <v>1</v>
      </c>
      <c r="G233" s="129">
        <v>0</v>
      </c>
      <c r="H233" s="129">
        <f t="shared" si="13"/>
        <v>1</v>
      </c>
      <c r="I233" s="130" t="s">
        <v>27</v>
      </c>
      <c r="J233" s="102"/>
      <c r="K233" s="104"/>
      <c r="L233" s="102"/>
      <c r="M233" s="129">
        <v>0</v>
      </c>
      <c r="N233" s="102"/>
    </row>
    <row r="234" spans="1:14" ht="14.25" customHeight="1" x14ac:dyDescent="0.3">
      <c r="A234" s="125" t="s">
        <v>62</v>
      </c>
      <c r="B234" s="21" t="s">
        <v>66</v>
      </c>
      <c r="C234" s="6" t="s">
        <v>141</v>
      </c>
      <c r="D234" s="26" t="s">
        <v>587</v>
      </c>
      <c r="E234" s="247" t="s">
        <v>1444</v>
      </c>
      <c r="F234" s="104">
        <v>1</v>
      </c>
      <c r="G234" s="104">
        <v>1</v>
      </c>
      <c r="H234" s="104">
        <f t="shared" si="13"/>
        <v>0</v>
      </c>
      <c r="I234" s="125" t="s">
        <v>1445</v>
      </c>
      <c r="J234" s="102"/>
      <c r="K234" s="104"/>
      <c r="L234" s="102"/>
      <c r="M234" s="104">
        <v>1</v>
      </c>
      <c r="N234" s="102"/>
    </row>
    <row r="235" spans="1:14" ht="14.25" customHeight="1" x14ac:dyDescent="0.3">
      <c r="A235" s="125" t="s">
        <v>62</v>
      </c>
      <c r="B235" s="21" t="s">
        <v>66</v>
      </c>
      <c r="C235" s="6" t="s">
        <v>141</v>
      </c>
      <c r="D235" s="158" t="s">
        <v>587</v>
      </c>
      <c r="E235" s="247"/>
      <c r="F235" s="104">
        <v>1</v>
      </c>
      <c r="G235" s="104">
        <v>1</v>
      </c>
      <c r="H235" s="104">
        <f t="shared" si="13"/>
        <v>0</v>
      </c>
      <c r="I235" s="125" t="s">
        <v>1446</v>
      </c>
      <c r="J235" s="102"/>
      <c r="K235" s="104"/>
      <c r="L235" s="102"/>
      <c r="M235" s="104">
        <v>1</v>
      </c>
      <c r="N235" s="102"/>
    </row>
    <row r="236" spans="1:14" ht="14.25" customHeight="1" x14ac:dyDescent="0.3">
      <c r="A236" s="125" t="s">
        <v>62</v>
      </c>
      <c r="B236" s="21" t="s">
        <v>66</v>
      </c>
      <c r="C236" s="6" t="s">
        <v>141</v>
      </c>
      <c r="D236" s="26" t="s">
        <v>588</v>
      </c>
      <c r="E236" s="247" t="s">
        <v>1447</v>
      </c>
      <c r="F236" s="104">
        <v>1</v>
      </c>
      <c r="G236" s="104">
        <v>1</v>
      </c>
      <c r="H236" s="104">
        <f t="shared" si="13"/>
        <v>0</v>
      </c>
      <c r="I236" s="125" t="s">
        <v>1448</v>
      </c>
      <c r="J236" s="102"/>
      <c r="K236" s="104"/>
      <c r="L236" s="102"/>
      <c r="M236" s="104">
        <v>1</v>
      </c>
      <c r="N236" s="102"/>
    </row>
    <row r="237" spans="1:14" ht="14.25" customHeight="1" x14ac:dyDescent="0.3">
      <c r="A237" s="125" t="s">
        <v>62</v>
      </c>
      <c r="B237" s="21" t="s">
        <v>66</v>
      </c>
      <c r="C237" s="6" t="s">
        <v>141</v>
      </c>
      <c r="D237" s="158" t="s">
        <v>588</v>
      </c>
      <c r="E237" s="247"/>
      <c r="F237" s="104">
        <v>1</v>
      </c>
      <c r="G237" s="104">
        <v>1</v>
      </c>
      <c r="H237" s="104">
        <f t="shared" si="13"/>
        <v>0</v>
      </c>
      <c r="I237" s="125" t="s">
        <v>1449</v>
      </c>
      <c r="J237" s="102"/>
      <c r="K237" s="104"/>
      <c r="L237" s="102"/>
      <c r="M237" s="104">
        <v>1</v>
      </c>
      <c r="N237" s="102"/>
    </row>
    <row r="238" spans="1:14" ht="14.25" customHeight="1" x14ac:dyDescent="0.3">
      <c r="A238" s="125" t="s">
        <v>62</v>
      </c>
      <c r="B238" s="21" t="s">
        <v>66</v>
      </c>
      <c r="C238" s="6" t="s">
        <v>141</v>
      </c>
      <c r="D238" s="26" t="s">
        <v>589</v>
      </c>
      <c r="E238" s="247" t="s">
        <v>1450</v>
      </c>
      <c r="F238" s="104">
        <v>1</v>
      </c>
      <c r="G238" s="104">
        <v>1</v>
      </c>
      <c r="H238" s="104">
        <f t="shared" si="13"/>
        <v>0</v>
      </c>
      <c r="I238" s="125" t="s">
        <v>1451</v>
      </c>
      <c r="J238" s="102"/>
      <c r="K238" s="104"/>
      <c r="L238" s="102"/>
      <c r="M238" s="104">
        <v>1</v>
      </c>
      <c r="N238" s="102"/>
    </row>
    <row r="239" spans="1:14" ht="14.25" customHeight="1" x14ac:dyDescent="0.3">
      <c r="A239" s="125" t="s">
        <v>62</v>
      </c>
      <c r="B239" s="21" t="s">
        <v>66</v>
      </c>
      <c r="C239" s="6" t="s">
        <v>141</v>
      </c>
      <c r="D239" s="158" t="s">
        <v>589</v>
      </c>
      <c r="E239" s="247"/>
      <c r="F239" s="104">
        <v>1</v>
      </c>
      <c r="G239" s="104">
        <v>1</v>
      </c>
      <c r="H239" s="104">
        <f t="shared" si="13"/>
        <v>0</v>
      </c>
      <c r="I239" s="125" t="s">
        <v>1452</v>
      </c>
      <c r="J239" s="102"/>
      <c r="K239" s="104"/>
      <c r="L239" s="102"/>
      <c r="M239" s="104">
        <v>1</v>
      </c>
      <c r="N239" s="102"/>
    </row>
    <row r="240" spans="1:14" ht="14.25" customHeight="1" x14ac:dyDescent="0.3">
      <c r="A240" s="125" t="s">
        <v>62</v>
      </c>
      <c r="B240" s="21" t="s">
        <v>66</v>
      </c>
      <c r="C240" s="6" t="s">
        <v>141</v>
      </c>
      <c r="D240" s="26" t="s">
        <v>590</v>
      </c>
      <c r="E240" s="247" t="s">
        <v>1453</v>
      </c>
      <c r="F240" s="104">
        <v>1</v>
      </c>
      <c r="G240" s="104">
        <v>1</v>
      </c>
      <c r="H240" s="104">
        <f t="shared" si="13"/>
        <v>0</v>
      </c>
      <c r="I240" s="125" t="s">
        <v>1454</v>
      </c>
      <c r="J240" s="102"/>
      <c r="K240" s="104"/>
      <c r="L240" s="102"/>
      <c r="M240" s="104">
        <v>1</v>
      </c>
      <c r="N240" s="102"/>
    </row>
    <row r="241" spans="1:15" ht="14.25" customHeight="1" x14ac:dyDescent="0.3">
      <c r="A241" s="125" t="s">
        <v>62</v>
      </c>
      <c r="B241" s="21" t="s">
        <v>66</v>
      </c>
      <c r="C241" s="6" t="s">
        <v>141</v>
      </c>
      <c r="D241" s="173" t="s">
        <v>590</v>
      </c>
      <c r="E241" s="247"/>
      <c r="F241" s="104">
        <v>1</v>
      </c>
      <c r="G241" s="129">
        <v>0</v>
      </c>
      <c r="H241" s="129">
        <f t="shared" si="13"/>
        <v>1</v>
      </c>
      <c r="I241" s="130" t="s">
        <v>27</v>
      </c>
      <c r="J241" s="102"/>
      <c r="K241" s="104"/>
      <c r="L241" s="102"/>
      <c r="M241" s="129">
        <v>0</v>
      </c>
      <c r="N241" s="102"/>
    </row>
    <row r="242" spans="1:15" ht="13.8" x14ac:dyDescent="0.3">
      <c r="A242" s="102" t="s">
        <v>67</v>
      </c>
      <c r="B242" s="22" t="s">
        <v>68</v>
      </c>
      <c r="C242" s="6" t="s">
        <v>144</v>
      </c>
      <c r="D242" s="174" t="s">
        <v>591</v>
      </c>
      <c r="E242" s="246" t="s">
        <v>958</v>
      </c>
      <c r="F242" s="176">
        <v>1</v>
      </c>
      <c r="G242" s="104">
        <v>1</v>
      </c>
      <c r="H242" s="104">
        <f>F242-G242</f>
        <v>0</v>
      </c>
      <c r="I242" s="112" t="s">
        <v>1455</v>
      </c>
      <c r="J242" s="177" t="s">
        <v>1456</v>
      </c>
      <c r="K242" s="136" t="s">
        <v>1457</v>
      </c>
      <c r="L242" s="136" t="s">
        <v>49</v>
      </c>
      <c r="M242" s="136" t="s">
        <v>939</v>
      </c>
      <c r="N242" s="104">
        <v>1</v>
      </c>
      <c r="O242" s="102"/>
    </row>
    <row r="243" spans="1:15" ht="14.25" customHeight="1" x14ac:dyDescent="0.3">
      <c r="A243" s="102" t="s">
        <v>67</v>
      </c>
      <c r="B243" s="22" t="s">
        <v>68</v>
      </c>
      <c r="C243" s="6" t="s">
        <v>144</v>
      </c>
      <c r="D243" s="174" t="s">
        <v>591</v>
      </c>
      <c r="E243" s="246"/>
      <c r="F243" s="176">
        <v>1</v>
      </c>
      <c r="G243" s="104">
        <v>1</v>
      </c>
      <c r="H243" s="104">
        <f t="shared" ref="H243:H278" si="14">F243-G243</f>
        <v>0</v>
      </c>
      <c r="I243" s="112" t="s">
        <v>1458</v>
      </c>
      <c r="J243" s="177" t="s">
        <v>1459</v>
      </c>
      <c r="K243" s="136" t="s">
        <v>1460</v>
      </c>
      <c r="L243" s="136" t="s">
        <v>49</v>
      </c>
      <c r="M243" s="136" t="s">
        <v>939</v>
      </c>
      <c r="N243" s="104">
        <v>1</v>
      </c>
      <c r="O243" s="102"/>
    </row>
    <row r="244" spans="1:15" ht="14.25" customHeight="1" x14ac:dyDescent="0.3">
      <c r="A244" s="102" t="s">
        <v>67</v>
      </c>
      <c r="B244" s="22" t="s">
        <v>68</v>
      </c>
      <c r="C244" s="6" t="s">
        <v>144</v>
      </c>
      <c r="D244" s="174" t="s">
        <v>592</v>
      </c>
      <c r="E244" s="246" t="s">
        <v>968</v>
      </c>
      <c r="F244" s="176">
        <v>1</v>
      </c>
      <c r="G244" s="104">
        <v>1</v>
      </c>
      <c r="H244" s="104">
        <f t="shared" si="14"/>
        <v>0</v>
      </c>
      <c r="I244" s="112" t="s">
        <v>1461</v>
      </c>
      <c r="J244" s="177" t="s">
        <v>1462</v>
      </c>
      <c r="K244" s="136" t="s">
        <v>1463</v>
      </c>
      <c r="L244" s="136" t="s">
        <v>49</v>
      </c>
      <c r="M244" s="136" t="s">
        <v>939</v>
      </c>
      <c r="N244" s="104">
        <v>1</v>
      </c>
      <c r="O244" s="102"/>
    </row>
    <row r="245" spans="1:15" ht="14.25" customHeight="1" x14ac:dyDescent="0.3">
      <c r="A245" s="102" t="s">
        <v>67</v>
      </c>
      <c r="B245" s="22" t="s">
        <v>68</v>
      </c>
      <c r="C245" s="6" t="s">
        <v>144</v>
      </c>
      <c r="D245" s="174" t="s">
        <v>592</v>
      </c>
      <c r="E245" s="246"/>
      <c r="F245" s="176">
        <v>1</v>
      </c>
      <c r="G245" s="104">
        <v>1</v>
      </c>
      <c r="H245" s="104">
        <f t="shared" si="14"/>
        <v>0</v>
      </c>
      <c r="I245" s="112" t="s">
        <v>1464</v>
      </c>
      <c r="J245" s="177" t="s">
        <v>1465</v>
      </c>
      <c r="K245" s="136" t="s">
        <v>1457</v>
      </c>
      <c r="L245" s="136" t="s">
        <v>49</v>
      </c>
      <c r="M245" s="136" t="s">
        <v>939</v>
      </c>
      <c r="N245" s="104">
        <v>1</v>
      </c>
      <c r="O245" s="102"/>
    </row>
    <row r="246" spans="1:15" ht="14.25" customHeight="1" x14ac:dyDescent="0.3">
      <c r="A246" s="102" t="s">
        <v>67</v>
      </c>
      <c r="B246" s="22" t="s">
        <v>68</v>
      </c>
      <c r="C246" s="6" t="s">
        <v>144</v>
      </c>
      <c r="D246" s="174" t="s">
        <v>593</v>
      </c>
      <c r="E246" s="246" t="s">
        <v>978</v>
      </c>
      <c r="F246" s="176">
        <v>1</v>
      </c>
      <c r="G246" s="104">
        <v>1</v>
      </c>
      <c r="H246" s="104">
        <f t="shared" si="14"/>
        <v>0</v>
      </c>
      <c r="I246" s="112" t="s">
        <v>1466</v>
      </c>
      <c r="J246" s="177" t="s">
        <v>1467</v>
      </c>
      <c r="K246" s="136" t="s">
        <v>1457</v>
      </c>
      <c r="L246" s="136" t="s">
        <v>49</v>
      </c>
      <c r="M246" s="136" t="s">
        <v>939</v>
      </c>
      <c r="N246" s="104">
        <v>1</v>
      </c>
      <c r="O246" s="102"/>
    </row>
    <row r="247" spans="1:15" ht="14.25" customHeight="1" x14ac:dyDescent="0.3">
      <c r="A247" s="102" t="s">
        <v>67</v>
      </c>
      <c r="B247" s="22" t="s">
        <v>68</v>
      </c>
      <c r="C247" s="6" t="s">
        <v>144</v>
      </c>
      <c r="D247" s="174" t="s">
        <v>593</v>
      </c>
      <c r="E247" s="246"/>
      <c r="F247" s="176">
        <v>1</v>
      </c>
      <c r="G247" s="104">
        <v>1</v>
      </c>
      <c r="H247" s="104">
        <f t="shared" si="14"/>
        <v>0</v>
      </c>
      <c r="I247" s="112" t="s">
        <v>1468</v>
      </c>
      <c r="J247" s="177" t="s">
        <v>1469</v>
      </c>
      <c r="K247" s="136" t="s">
        <v>1457</v>
      </c>
      <c r="L247" s="136" t="s">
        <v>49</v>
      </c>
      <c r="M247" s="136" t="s">
        <v>939</v>
      </c>
      <c r="N247" s="104">
        <v>1</v>
      </c>
      <c r="O247" s="102"/>
    </row>
    <row r="248" spans="1:15" ht="14.25" customHeight="1" x14ac:dyDescent="0.3">
      <c r="A248" s="102" t="s">
        <v>67</v>
      </c>
      <c r="B248" s="22" t="s">
        <v>68</v>
      </c>
      <c r="C248" s="6" t="s">
        <v>144</v>
      </c>
      <c r="D248" s="174" t="s">
        <v>594</v>
      </c>
      <c r="E248" s="246" t="s">
        <v>989</v>
      </c>
      <c r="F248" s="176">
        <v>1</v>
      </c>
      <c r="G248" s="104">
        <v>1</v>
      </c>
      <c r="H248" s="104">
        <f t="shared" si="14"/>
        <v>0</v>
      </c>
      <c r="I248" s="112" t="s">
        <v>1470</v>
      </c>
      <c r="J248" s="177" t="s">
        <v>1471</v>
      </c>
      <c r="K248" s="136" t="s">
        <v>1472</v>
      </c>
      <c r="L248" s="136" t="s">
        <v>49</v>
      </c>
      <c r="M248" s="136" t="s">
        <v>939</v>
      </c>
      <c r="N248" s="104">
        <v>1</v>
      </c>
      <c r="O248" s="102"/>
    </row>
    <row r="249" spans="1:15" ht="14.25" customHeight="1" x14ac:dyDescent="0.3">
      <c r="A249" s="102" t="s">
        <v>67</v>
      </c>
      <c r="B249" s="22" t="s">
        <v>68</v>
      </c>
      <c r="C249" s="6" t="s">
        <v>144</v>
      </c>
      <c r="D249" s="174" t="s">
        <v>594</v>
      </c>
      <c r="E249" s="246"/>
      <c r="F249" s="176">
        <v>1</v>
      </c>
      <c r="G249" s="104">
        <v>1</v>
      </c>
      <c r="H249" s="104">
        <f t="shared" si="14"/>
        <v>0</v>
      </c>
      <c r="I249" s="112" t="s">
        <v>1473</v>
      </c>
      <c r="J249" s="177" t="s">
        <v>1474</v>
      </c>
      <c r="K249" s="136" t="s">
        <v>1457</v>
      </c>
      <c r="L249" s="136" t="s">
        <v>49</v>
      </c>
      <c r="M249" s="136" t="s">
        <v>939</v>
      </c>
      <c r="N249" s="104">
        <v>1</v>
      </c>
      <c r="O249" s="102"/>
    </row>
    <row r="250" spans="1:15" ht="14.25" customHeight="1" x14ac:dyDescent="0.3">
      <c r="A250" s="102" t="s">
        <v>67</v>
      </c>
      <c r="B250" s="22" t="s">
        <v>68</v>
      </c>
      <c r="C250" s="6" t="s">
        <v>144</v>
      </c>
      <c r="D250" s="174" t="s">
        <v>595</v>
      </c>
      <c r="E250" s="246" t="s">
        <v>1475</v>
      </c>
      <c r="F250" s="176">
        <v>1</v>
      </c>
      <c r="G250" s="104">
        <v>1</v>
      </c>
      <c r="H250" s="104">
        <f t="shared" si="14"/>
        <v>0</v>
      </c>
      <c r="I250" s="112" t="s">
        <v>1476</v>
      </c>
      <c r="J250" s="177" t="s">
        <v>1477</v>
      </c>
      <c r="K250" s="136" t="s">
        <v>1478</v>
      </c>
      <c r="L250" s="136" t="s">
        <v>49</v>
      </c>
      <c r="M250" s="136" t="s">
        <v>939</v>
      </c>
      <c r="N250" s="104">
        <v>1</v>
      </c>
      <c r="O250" s="102"/>
    </row>
    <row r="251" spans="1:15" ht="14.25" customHeight="1" x14ac:dyDescent="0.3">
      <c r="A251" s="102" t="s">
        <v>67</v>
      </c>
      <c r="B251" s="22" t="s">
        <v>68</v>
      </c>
      <c r="C251" s="6" t="s">
        <v>144</v>
      </c>
      <c r="D251" s="174" t="s">
        <v>595</v>
      </c>
      <c r="E251" s="246"/>
      <c r="F251" s="176">
        <v>1</v>
      </c>
      <c r="G251" s="104">
        <v>1</v>
      </c>
      <c r="H251" s="104">
        <f t="shared" si="14"/>
        <v>0</v>
      </c>
      <c r="I251" s="178"/>
      <c r="J251" s="178" t="s">
        <v>1479</v>
      </c>
      <c r="K251" s="136"/>
      <c r="L251" s="136"/>
      <c r="M251" s="136"/>
      <c r="N251" s="104">
        <v>1</v>
      </c>
      <c r="O251" s="102"/>
    </row>
    <row r="252" spans="1:15" ht="14.25" customHeight="1" x14ac:dyDescent="0.3">
      <c r="A252" s="102" t="s">
        <v>67</v>
      </c>
      <c r="B252" s="22" t="s">
        <v>68</v>
      </c>
      <c r="C252" s="6" t="s">
        <v>144</v>
      </c>
      <c r="D252" s="174" t="s">
        <v>595</v>
      </c>
      <c r="E252" s="246"/>
      <c r="F252" s="176">
        <v>1</v>
      </c>
      <c r="G252" s="104">
        <v>1</v>
      </c>
      <c r="H252" s="104">
        <f t="shared" si="14"/>
        <v>0</v>
      </c>
      <c r="I252" s="178"/>
      <c r="J252" s="178" t="s">
        <v>1480</v>
      </c>
      <c r="K252" s="136"/>
      <c r="L252" s="136"/>
      <c r="M252" s="136"/>
      <c r="N252" s="104">
        <v>1</v>
      </c>
      <c r="O252" s="102"/>
    </row>
    <row r="253" spans="1:15" ht="14.25" customHeight="1" x14ac:dyDescent="0.3">
      <c r="A253" s="102" t="s">
        <v>67</v>
      </c>
      <c r="B253" s="22" t="s">
        <v>68</v>
      </c>
      <c r="C253" s="6" t="s">
        <v>144</v>
      </c>
      <c r="D253" s="174" t="s">
        <v>596</v>
      </c>
      <c r="E253" s="175" t="s">
        <v>1000</v>
      </c>
      <c r="F253" s="176">
        <v>1</v>
      </c>
      <c r="G253" s="104">
        <v>1</v>
      </c>
      <c r="H253" s="104">
        <f t="shared" si="14"/>
        <v>0</v>
      </c>
      <c r="I253" s="112" t="s">
        <v>1481</v>
      </c>
      <c r="J253" s="177" t="s">
        <v>1482</v>
      </c>
      <c r="K253" s="136" t="s">
        <v>1483</v>
      </c>
      <c r="L253" s="136" t="s">
        <v>49</v>
      </c>
      <c r="M253" s="136" t="s">
        <v>939</v>
      </c>
      <c r="N253" s="104">
        <v>1</v>
      </c>
      <c r="O253" s="102"/>
    </row>
    <row r="254" spans="1:15" ht="14.25" customHeight="1" x14ac:dyDescent="0.3">
      <c r="A254" s="102" t="s">
        <v>67</v>
      </c>
      <c r="B254" s="22" t="s">
        <v>68</v>
      </c>
      <c r="C254" s="6" t="s">
        <v>144</v>
      </c>
      <c r="D254" s="174" t="s">
        <v>597</v>
      </c>
      <c r="E254" s="175" t="s">
        <v>1011</v>
      </c>
      <c r="F254" s="176">
        <v>1</v>
      </c>
      <c r="G254" s="104">
        <v>1</v>
      </c>
      <c r="H254" s="104">
        <f t="shared" si="14"/>
        <v>0</v>
      </c>
      <c r="I254" s="178"/>
      <c r="J254" s="178" t="s">
        <v>1484</v>
      </c>
      <c r="K254" s="136"/>
      <c r="L254" s="136"/>
      <c r="M254" s="136"/>
      <c r="N254" s="104">
        <v>1</v>
      </c>
      <c r="O254" s="102"/>
    </row>
    <row r="255" spans="1:15" ht="14.25" customHeight="1" x14ac:dyDescent="0.3">
      <c r="A255" s="102" t="s">
        <v>67</v>
      </c>
      <c r="B255" s="22" t="s">
        <v>68</v>
      </c>
      <c r="C255" s="6" t="s">
        <v>144</v>
      </c>
      <c r="D255" s="174" t="s">
        <v>598</v>
      </c>
      <c r="E255" s="175" t="s">
        <v>1018</v>
      </c>
      <c r="F255" s="176">
        <v>1</v>
      </c>
      <c r="G255" s="104">
        <v>1</v>
      </c>
      <c r="H255" s="104">
        <f t="shared" si="14"/>
        <v>0</v>
      </c>
      <c r="I255" s="112" t="s">
        <v>1485</v>
      </c>
      <c r="J255" s="177" t="s">
        <v>1486</v>
      </c>
      <c r="K255" s="136" t="s">
        <v>1457</v>
      </c>
      <c r="L255" s="136" t="s">
        <v>49</v>
      </c>
      <c r="M255" s="136" t="s">
        <v>939</v>
      </c>
      <c r="N255" s="104">
        <v>1</v>
      </c>
      <c r="O255" s="102"/>
    </row>
    <row r="256" spans="1:15" ht="14.25" customHeight="1" x14ac:dyDescent="0.3">
      <c r="A256" s="102" t="s">
        <v>67</v>
      </c>
      <c r="B256" s="22" t="s">
        <v>68</v>
      </c>
      <c r="C256" s="6" t="s">
        <v>144</v>
      </c>
      <c r="D256" s="174" t="s">
        <v>599</v>
      </c>
      <c r="E256" s="175" t="s">
        <v>1027</v>
      </c>
      <c r="F256" s="176">
        <v>1</v>
      </c>
      <c r="G256" s="104">
        <v>1</v>
      </c>
      <c r="H256" s="104">
        <f t="shared" si="14"/>
        <v>0</v>
      </c>
      <c r="I256" s="112" t="s">
        <v>1487</v>
      </c>
      <c r="J256" s="177" t="s">
        <v>1488</v>
      </c>
      <c r="K256" s="136" t="s">
        <v>1489</v>
      </c>
      <c r="L256" s="136" t="s">
        <v>49</v>
      </c>
      <c r="M256" s="136" t="s">
        <v>939</v>
      </c>
      <c r="N256" s="104">
        <v>1</v>
      </c>
      <c r="O256" s="102"/>
    </row>
    <row r="257" spans="1:15" ht="14.25" customHeight="1" x14ac:dyDescent="0.3">
      <c r="A257" s="102" t="s">
        <v>67</v>
      </c>
      <c r="B257" s="22" t="s">
        <v>68</v>
      </c>
      <c r="C257" s="6" t="s">
        <v>144</v>
      </c>
      <c r="D257" s="174" t="s">
        <v>600</v>
      </c>
      <c r="E257" s="175" t="s">
        <v>1038</v>
      </c>
      <c r="F257" s="176">
        <v>1</v>
      </c>
      <c r="G257" s="104">
        <v>1</v>
      </c>
      <c r="H257" s="104">
        <f t="shared" si="14"/>
        <v>0</v>
      </c>
      <c r="I257" s="112" t="s">
        <v>1490</v>
      </c>
      <c r="J257" s="177" t="s">
        <v>1491</v>
      </c>
      <c r="K257" s="136" t="s">
        <v>1457</v>
      </c>
      <c r="L257" s="136" t="s">
        <v>49</v>
      </c>
      <c r="M257" s="136" t="s">
        <v>939</v>
      </c>
      <c r="N257" s="104">
        <v>1</v>
      </c>
      <c r="O257" s="102"/>
    </row>
    <row r="258" spans="1:15" ht="14.25" customHeight="1" x14ac:dyDescent="0.3">
      <c r="A258" s="102" t="s">
        <v>67</v>
      </c>
      <c r="B258" s="22" t="s">
        <v>68</v>
      </c>
      <c r="C258" s="6" t="s">
        <v>144</v>
      </c>
      <c r="D258" s="174" t="s">
        <v>601</v>
      </c>
      <c r="E258" s="175" t="s">
        <v>1045</v>
      </c>
      <c r="F258" s="176">
        <v>1</v>
      </c>
      <c r="G258" s="104">
        <v>1</v>
      </c>
      <c r="H258" s="104">
        <f t="shared" si="14"/>
        <v>0</v>
      </c>
      <c r="I258" s="112" t="s">
        <v>1492</v>
      </c>
      <c r="J258" s="177" t="s">
        <v>1493</v>
      </c>
      <c r="K258" s="136" t="s">
        <v>1494</v>
      </c>
      <c r="L258" s="136" t="s">
        <v>49</v>
      </c>
      <c r="M258" s="136" t="s">
        <v>939</v>
      </c>
      <c r="N258" s="104">
        <v>1</v>
      </c>
      <c r="O258" s="102"/>
    </row>
    <row r="259" spans="1:15" ht="14.25" customHeight="1" x14ac:dyDescent="0.3">
      <c r="A259" s="102" t="s">
        <v>67</v>
      </c>
      <c r="B259" s="22" t="s">
        <v>68</v>
      </c>
      <c r="C259" s="6" t="s">
        <v>144</v>
      </c>
      <c r="D259" s="174" t="s">
        <v>602</v>
      </c>
      <c r="E259" s="175" t="s">
        <v>1495</v>
      </c>
      <c r="F259" s="176">
        <v>1</v>
      </c>
      <c r="G259" s="104">
        <v>1</v>
      </c>
      <c r="H259" s="104">
        <f t="shared" si="14"/>
        <v>0</v>
      </c>
      <c r="I259" s="112" t="s">
        <v>1496</v>
      </c>
      <c r="J259" s="177" t="s">
        <v>1497</v>
      </c>
      <c r="K259" s="136" t="s">
        <v>1457</v>
      </c>
      <c r="L259" s="136" t="s">
        <v>49</v>
      </c>
      <c r="M259" s="136" t="s">
        <v>939</v>
      </c>
      <c r="N259" s="104">
        <v>1</v>
      </c>
      <c r="O259" s="102"/>
    </row>
    <row r="260" spans="1:15" ht="14.25" customHeight="1" x14ac:dyDescent="0.3">
      <c r="A260" s="102" t="s">
        <v>67</v>
      </c>
      <c r="B260" s="22" t="s">
        <v>69</v>
      </c>
      <c r="C260" s="6" t="s">
        <v>145</v>
      </c>
      <c r="D260" s="174" t="s">
        <v>603</v>
      </c>
      <c r="E260" s="175" t="s">
        <v>1057</v>
      </c>
      <c r="F260" s="176">
        <v>1</v>
      </c>
      <c r="G260" s="104">
        <v>1</v>
      </c>
      <c r="H260" s="104">
        <f t="shared" si="14"/>
        <v>0</v>
      </c>
      <c r="I260" s="112" t="s">
        <v>1498</v>
      </c>
      <c r="J260" s="177" t="s">
        <v>1499</v>
      </c>
      <c r="K260" s="136" t="s">
        <v>1500</v>
      </c>
      <c r="L260" s="136" t="s">
        <v>52</v>
      </c>
      <c r="M260" s="136" t="s">
        <v>939</v>
      </c>
      <c r="N260" s="104">
        <v>1</v>
      </c>
      <c r="O260" s="102"/>
    </row>
    <row r="261" spans="1:15" ht="14.25" customHeight="1" x14ac:dyDescent="0.3">
      <c r="A261" s="102" t="s">
        <v>67</v>
      </c>
      <c r="B261" s="22" t="s">
        <v>69</v>
      </c>
      <c r="C261" s="6" t="s">
        <v>145</v>
      </c>
      <c r="D261" s="174" t="s">
        <v>604</v>
      </c>
      <c r="E261" s="246" t="s">
        <v>1068</v>
      </c>
      <c r="F261" s="176">
        <v>1</v>
      </c>
      <c r="G261" s="104">
        <v>1</v>
      </c>
      <c r="H261" s="104">
        <f t="shared" si="14"/>
        <v>0</v>
      </c>
      <c r="I261" s="112" t="s">
        <v>1501</v>
      </c>
      <c r="J261" s="177" t="s">
        <v>1502</v>
      </c>
      <c r="K261" s="136" t="s">
        <v>1503</v>
      </c>
      <c r="L261" s="136" t="s">
        <v>49</v>
      </c>
      <c r="M261" s="136" t="s">
        <v>939</v>
      </c>
      <c r="N261" s="104">
        <v>1</v>
      </c>
      <c r="O261" s="102"/>
    </row>
    <row r="262" spans="1:15" ht="14.25" customHeight="1" x14ac:dyDescent="0.3">
      <c r="A262" s="102" t="s">
        <v>67</v>
      </c>
      <c r="B262" s="22" t="s">
        <v>69</v>
      </c>
      <c r="C262" s="6" t="s">
        <v>145</v>
      </c>
      <c r="D262" s="174" t="s">
        <v>604</v>
      </c>
      <c r="E262" s="246"/>
      <c r="F262" s="176">
        <v>1</v>
      </c>
      <c r="G262" s="104">
        <v>1</v>
      </c>
      <c r="H262" s="104">
        <f t="shared" si="14"/>
        <v>0</v>
      </c>
      <c r="I262" s="112" t="s">
        <v>1504</v>
      </c>
      <c r="J262" s="177" t="s">
        <v>1505</v>
      </c>
      <c r="K262" s="136" t="s">
        <v>1457</v>
      </c>
      <c r="L262" s="136" t="s">
        <v>49</v>
      </c>
      <c r="M262" s="136" t="s">
        <v>939</v>
      </c>
      <c r="N262" s="104">
        <v>1</v>
      </c>
      <c r="O262" s="102"/>
    </row>
    <row r="263" spans="1:15" ht="14.25" customHeight="1" x14ac:dyDescent="0.3">
      <c r="A263" s="102" t="s">
        <v>67</v>
      </c>
      <c r="B263" s="22" t="s">
        <v>69</v>
      </c>
      <c r="C263" s="6" t="s">
        <v>145</v>
      </c>
      <c r="D263" s="174" t="s">
        <v>605</v>
      </c>
      <c r="E263" s="246" t="s">
        <v>1075</v>
      </c>
      <c r="F263" s="176">
        <v>1</v>
      </c>
      <c r="G263" s="104">
        <v>1</v>
      </c>
      <c r="H263" s="104">
        <f t="shared" si="14"/>
        <v>0</v>
      </c>
      <c r="I263" s="112" t="s">
        <v>1506</v>
      </c>
      <c r="J263" s="177" t="s">
        <v>1507</v>
      </c>
      <c r="K263" s="136" t="s">
        <v>1508</v>
      </c>
      <c r="L263" s="136" t="s">
        <v>49</v>
      </c>
      <c r="M263" s="136" t="s">
        <v>939</v>
      </c>
      <c r="N263" s="104">
        <v>1</v>
      </c>
      <c r="O263" s="102"/>
    </row>
    <row r="264" spans="1:15" ht="14.25" customHeight="1" x14ac:dyDescent="0.3">
      <c r="A264" s="102" t="s">
        <v>67</v>
      </c>
      <c r="B264" s="22" t="s">
        <v>69</v>
      </c>
      <c r="C264" s="6" t="s">
        <v>145</v>
      </c>
      <c r="D264" s="174" t="s">
        <v>605</v>
      </c>
      <c r="E264" s="246"/>
      <c r="F264" s="176">
        <v>1</v>
      </c>
      <c r="G264" s="104">
        <v>1</v>
      </c>
      <c r="H264" s="104">
        <f t="shared" si="14"/>
        <v>0</v>
      </c>
      <c r="I264" s="178"/>
      <c r="J264" s="178" t="s">
        <v>1509</v>
      </c>
      <c r="K264" s="136"/>
      <c r="L264" s="136"/>
      <c r="M264" s="136"/>
      <c r="N264" s="104">
        <v>1</v>
      </c>
      <c r="O264" s="102"/>
    </row>
    <row r="265" spans="1:15" ht="14.25" customHeight="1" x14ac:dyDescent="0.3">
      <c r="A265" s="102" t="s">
        <v>67</v>
      </c>
      <c r="B265" s="22" t="s">
        <v>69</v>
      </c>
      <c r="C265" s="6" t="s">
        <v>145</v>
      </c>
      <c r="D265" s="174" t="s">
        <v>607</v>
      </c>
      <c r="E265" s="246" t="s">
        <v>1510</v>
      </c>
      <c r="F265" s="176">
        <v>1</v>
      </c>
      <c r="G265" s="104">
        <v>1</v>
      </c>
      <c r="H265" s="104">
        <f t="shared" si="14"/>
        <v>0</v>
      </c>
      <c r="I265" s="112" t="s">
        <v>1511</v>
      </c>
      <c r="J265" s="177" t="s">
        <v>1512</v>
      </c>
      <c r="K265" s="136" t="s">
        <v>1457</v>
      </c>
      <c r="L265" s="136" t="s">
        <v>49</v>
      </c>
      <c r="M265" s="136" t="s">
        <v>939</v>
      </c>
      <c r="N265" s="104">
        <v>1</v>
      </c>
      <c r="O265" s="102"/>
    </row>
    <row r="266" spans="1:15" ht="14.25" customHeight="1" x14ac:dyDescent="0.3">
      <c r="A266" s="102" t="s">
        <v>67</v>
      </c>
      <c r="B266" s="22" t="s">
        <v>69</v>
      </c>
      <c r="C266" s="6" t="s">
        <v>145</v>
      </c>
      <c r="D266" s="174" t="s">
        <v>607</v>
      </c>
      <c r="E266" s="246"/>
      <c r="F266" s="176">
        <v>1</v>
      </c>
      <c r="G266" s="104">
        <v>1</v>
      </c>
      <c r="H266" s="104">
        <f t="shared" si="14"/>
        <v>0</v>
      </c>
      <c r="I266" s="112" t="s">
        <v>1513</v>
      </c>
      <c r="J266" s="177" t="s">
        <v>1514</v>
      </c>
      <c r="K266" s="136" t="s">
        <v>1457</v>
      </c>
      <c r="L266" s="136" t="s">
        <v>49</v>
      </c>
      <c r="M266" s="136" t="s">
        <v>939</v>
      </c>
      <c r="N266" s="104">
        <v>1</v>
      </c>
      <c r="O266" s="102"/>
    </row>
    <row r="267" spans="1:15" ht="14.25" customHeight="1" x14ac:dyDescent="0.3">
      <c r="A267" s="102" t="s">
        <v>67</v>
      </c>
      <c r="B267" s="22" t="s">
        <v>69</v>
      </c>
      <c r="C267" s="6" t="s">
        <v>145</v>
      </c>
      <c r="D267" s="174" t="s">
        <v>606</v>
      </c>
      <c r="E267" s="175" t="s">
        <v>1085</v>
      </c>
      <c r="F267" s="176">
        <v>1</v>
      </c>
      <c r="G267" s="104">
        <v>1</v>
      </c>
      <c r="H267" s="104">
        <f t="shared" si="14"/>
        <v>0</v>
      </c>
      <c r="I267" s="112" t="s">
        <v>1515</v>
      </c>
      <c r="J267" s="177" t="s">
        <v>1516</v>
      </c>
      <c r="K267" s="136" t="s">
        <v>1500</v>
      </c>
      <c r="L267" s="136" t="s">
        <v>49</v>
      </c>
      <c r="M267" s="136" t="s">
        <v>939</v>
      </c>
      <c r="N267" s="104">
        <v>1</v>
      </c>
      <c r="O267" s="102"/>
    </row>
    <row r="268" spans="1:15" ht="14.25" customHeight="1" x14ac:dyDescent="0.3">
      <c r="A268" s="102" t="s">
        <v>67</v>
      </c>
      <c r="B268" s="22" t="s">
        <v>69</v>
      </c>
      <c r="C268" s="6" t="s">
        <v>145</v>
      </c>
      <c r="D268" s="174" t="s">
        <v>608</v>
      </c>
      <c r="E268" s="175" t="s">
        <v>1095</v>
      </c>
      <c r="F268" s="176">
        <v>1</v>
      </c>
      <c r="G268" s="104">
        <v>1</v>
      </c>
      <c r="H268" s="104">
        <f t="shared" si="14"/>
        <v>0</v>
      </c>
      <c r="I268" s="112" t="s">
        <v>1517</v>
      </c>
      <c r="J268" s="177" t="s">
        <v>1518</v>
      </c>
      <c r="K268" s="136" t="s">
        <v>1519</v>
      </c>
      <c r="L268" s="136" t="s">
        <v>49</v>
      </c>
      <c r="M268" s="136" t="s">
        <v>939</v>
      </c>
      <c r="N268" s="104">
        <v>1</v>
      </c>
      <c r="O268" s="102"/>
    </row>
    <row r="269" spans="1:15" ht="14.25" customHeight="1" x14ac:dyDescent="0.3">
      <c r="A269" s="102" t="s">
        <v>67</v>
      </c>
      <c r="B269" s="22" t="s">
        <v>70</v>
      </c>
      <c r="C269" s="6" t="s">
        <v>146</v>
      </c>
      <c r="D269" s="174" t="s">
        <v>609</v>
      </c>
      <c r="E269" s="246" t="s">
        <v>1520</v>
      </c>
      <c r="F269" s="176">
        <v>1</v>
      </c>
      <c r="G269" s="104">
        <v>1</v>
      </c>
      <c r="H269" s="104">
        <f t="shared" si="14"/>
        <v>0</v>
      </c>
      <c r="I269" s="112" t="s">
        <v>1521</v>
      </c>
      <c r="J269" s="177" t="s">
        <v>1522</v>
      </c>
      <c r="K269" s="136" t="s">
        <v>1523</v>
      </c>
      <c r="L269" s="136" t="s">
        <v>49</v>
      </c>
      <c r="M269" s="136" t="s">
        <v>939</v>
      </c>
      <c r="N269" s="104">
        <v>1</v>
      </c>
      <c r="O269" s="102"/>
    </row>
    <row r="270" spans="1:15" ht="14.25" customHeight="1" x14ac:dyDescent="0.3">
      <c r="A270" s="102" t="s">
        <v>67</v>
      </c>
      <c r="B270" s="22" t="s">
        <v>70</v>
      </c>
      <c r="C270" s="6" t="s">
        <v>146</v>
      </c>
      <c r="D270" s="174" t="s">
        <v>609</v>
      </c>
      <c r="E270" s="246"/>
      <c r="F270" s="176">
        <v>1</v>
      </c>
      <c r="G270" s="104">
        <v>1</v>
      </c>
      <c r="H270" s="104">
        <f t="shared" si="14"/>
        <v>0</v>
      </c>
      <c r="I270" s="112" t="s">
        <v>1524</v>
      </c>
      <c r="J270" s="177" t="s">
        <v>1525</v>
      </c>
      <c r="K270" s="136" t="s">
        <v>1523</v>
      </c>
      <c r="L270" s="136" t="s">
        <v>49</v>
      </c>
      <c r="M270" s="136" t="s">
        <v>939</v>
      </c>
      <c r="N270" s="104">
        <v>1</v>
      </c>
      <c r="O270" s="102"/>
    </row>
    <row r="271" spans="1:15" ht="14.25" customHeight="1" x14ac:dyDescent="0.3">
      <c r="A271" s="102" t="s">
        <v>67</v>
      </c>
      <c r="B271" s="22" t="s">
        <v>70</v>
      </c>
      <c r="C271" s="6" t="s">
        <v>146</v>
      </c>
      <c r="D271" s="174" t="s">
        <v>610</v>
      </c>
      <c r="E271" s="246" t="s">
        <v>1526</v>
      </c>
      <c r="F271" s="176">
        <v>1</v>
      </c>
      <c r="G271" s="104">
        <v>1</v>
      </c>
      <c r="H271" s="104">
        <f t="shared" si="14"/>
        <v>0</v>
      </c>
      <c r="I271" s="112" t="s">
        <v>1527</v>
      </c>
      <c r="J271" s="177" t="s">
        <v>1528</v>
      </c>
      <c r="K271" s="136" t="s">
        <v>1523</v>
      </c>
      <c r="L271" s="136" t="s">
        <v>49</v>
      </c>
      <c r="M271" s="136" t="s">
        <v>939</v>
      </c>
      <c r="N271" s="104">
        <v>1</v>
      </c>
      <c r="O271" s="102"/>
    </row>
    <row r="272" spans="1:15" ht="13.8" x14ac:dyDescent="0.3">
      <c r="A272" s="102" t="s">
        <v>67</v>
      </c>
      <c r="B272" s="22" t="s">
        <v>70</v>
      </c>
      <c r="C272" s="6" t="s">
        <v>146</v>
      </c>
      <c r="D272" s="174" t="s">
        <v>610</v>
      </c>
      <c r="E272" s="246"/>
      <c r="F272" s="176">
        <v>1</v>
      </c>
      <c r="G272" s="104">
        <v>1</v>
      </c>
      <c r="H272" s="104">
        <f t="shared" si="14"/>
        <v>0</v>
      </c>
      <c r="I272" s="112" t="s">
        <v>1529</v>
      </c>
      <c r="J272" s="177" t="s">
        <v>1530</v>
      </c>
      <c r="K272" s="177" t="s">
        <v>1523</v>
      </c>
      <c r="L272" s="136" t="s">
        <v>49</v>
      </c>
      <c r="M272" s="136" t="s">
        <v>939</v>
      </c>
      <c r="N272" s="104">
        <v>1</v>
      </c>
      <c r="O272" s="102"/>
    </row>
    <row r="273" spans="1:15" ht="14.25" customHeight="1" x14ac:dyDescent="0.3">
      <c r="A273" s="102" t="s">
        <v>67</v>
      </c>
      <c r="B273" s="22" t="s">
        <v>70</v>
      </c>
      <c r="C273" s="6" t="s">
        <v>146</v>
      </c>
      <c r="D273" s="174" t="s">
        <v>611</v>
      </c>
      <c r="E273" s="246" t="s">
        <v>1531</v>
      </c>
      <c r="F273" s="176">
        <v>1</v>
      </c>
      <c r="G273" s="104">
        <v>1</v>
      </c>
      <c r="H273" s="104">
        <f t="shared" si="14"/>
        <v>0</v>
      </c>
      <c r="I273" s="112" t="s">
        <v>1532</v>
      </c>
      <c r="J273" s="177" t="s">
        <v>1533</v>
      </c>
      <c r="K273" s="177" t="s">
        <v>1534</v>
      </c>
      <c r="L273" s="136" t="s">
        <v>49</v>
      </c>
      <c r="M273" s="136" t="s">
        <v>939</v>
      </c>
      <c r="N273" s="104">
        <v>1</v>
      </c>
      <c r="O273" s="102"/>
    </row>
    <row r="274" spans="1:15" ht="14.25" customHeight="1" x14ac:dyDescent="0.3">
      <c r="A274" s="102" t="s">
        <v>67</v>
      </c>
      <c r="B274" s="22" t="s">
        <v>70</v>
      </c>
      <c r="C274" s="6" t="s">
        <v>146</v>
      </c>
      <c r="D274" s="174" t="s">
        <v>611</v>
      </c>
      <c r="E274" s="246"/>
      <c r="F274" s="176">
        <v>1</v>
      </c>
      <c r="G274" s="104">
        <v>1</v>
      </c>
      <c r="H274" s="104">
        <f t="shared" si="14"/>
        <v>0</v>
      </c>
      <c r="I274" s="112" t="s">
        <v>1535</v>
      </c>
      <c r="J274" s="177" t="s">
        <v>1536</v>
      </c>
      <c r="K274" s="177" t="s">
        <v>1457</v>
      </c>
      <c r="L274" s="136" t="s">
        <v>49</v>
      </c>
      <c r="M274" s="136" t="s">
        <v>939</v>
      </c>
      <c r="N274" s="104">
        <v>1</v>
      </c>
      <c r="O274" s="102"/>
    </row>
    <row r="275" spans="1:15" ht="14.25" customHeight="1" x14ac:dyDescent="0.3">
      <c r="A275" s="102" t="s">
        <v>67</v>
      </c>
      <c r="B275" s="22" t="s">
        <v>70</v>
      </c>
      <c r="C275" s="6" t="s">
        <v>146</v>
      </c>
      <c r="D275" s="174" t="s">
        <v>612</v>
      </c>
      <c r="E275" s="246" t="s">
        <v>1537</v>
      </c>
      <c r="F275" s="176">
        <v>1</v>
      </c>
      <c r="G275" s="104">
        <v>1</v>
      </c>
      <c r="H275" s="104">
        <f t="shared" si="14"/>
        <v>0</v>
      </c>
      <c r="I275" s="112" t="s">
        <v>1538</v>
      </c>
      <c r="J275" s="177" t="s">
        <v>1539</v>
      </c>
      <c r="K275" s="177" t="s">
        <v>1523</v>
      </c>
      <c r="L275" s="136" t="s">
        <v>49</v>
      </c>
      <c r="M275" s="136" t="s">
        <v>939</v>
      </c>
      <c r="N275" s="104">
        <v>1</v>
      </c>
      <c r="O275" s="102"/>
    </row>
    <row r="276" spans="1:15" ht="14.25" customHeight="1" x14ac:dyDescent="0.3">
      <c r="A276" s="102" t="s">
        <v>67</v>
      </c>
      <c r="B276" s="22" t="s">
        <v>70</v>
      </c>
      <c r="C276" s="6" t="s">
        <v>146</v>
      </c>
      <c r="D276" s="174" t="s">
        <v>612</v>
      </c>
      <c r="E276" s="246"/>
      <c r="F276" s="176">
        <v>1</v>
      </c>
      <c r="G276" s="104">
        <v>1</v>
      </c>
      <c r="H276" s="104">
        <f t="shared" si="14"/>
        <v>0</v>
      </c>
      <c r="I276" s="112" t="s">
        <v>1540</v>
      </c>
      <c r="J276" s="177" t="s">
        <v>1541</v>
      </c>
      <c r="K276" s="177" t="s">
        <v>1523</v>
      </c>
      <c r="L276" s="136" t="s">
        <v>49</v>
      </c>
      <c r="M276" s="136" t="s">
        <v>939</v>
      </c>
      <c r="N276" s="104">
        <v>1</v>
      </c>
      <c r="O276" s="102"/>
    </row>
    <row r="277" spans="1:15" ht="14.25" customHeight="1" x14ac:dyDescent="0.3">
      <c r="A277" s="102" t="s">
        <v>67</v>
      </c>
      <c r="B277" s="22" t="s">
        <v>70</v>
      </c>
      <c r="C277" s="6" t="s">
        <v>146</v>
      </c>
      <c r="D277" s="174" t="s">
        <v>613</v>
      </c>
      <c r="E277" s="246" t="s">
        <v>1542</v>
      </c>
      <c r="F277" s="176">
        <v>1</v>
      </c>
      <c r="G277" s="104">
        <v>1</v>
      </c>
      <c r="H277" s="104">
        <f t="shared" si="14"/>
        <v>0</v>
      </c>
      <c r="I277" s="112" t="s">
        <v>1543</v>
      </c>
      <c r="J277" s="177" t="s">
        <v>1544</v>
      </c>
      <c r="K277" s="177" t="s">
        <v>1545</v>
      </c>
      <c r="L277" s="136" t="s">
        <v>49</v>
      </c>
      <c r="M277" s="136" t="s">
        <v>939</v>
      </c>
      <c r="N277" s="104">
        <v>1</v>
      </c>
      <c r="O277" s="102"/>
    </row>
    <row r="278" spans="1:15" ht="14.25" customHeight="1" x14ac:dyDescent="0.3">
      <c r="A278" s="102" t="s">
        <v>67</v>
      </c>
      <c r="B278" s="22" t="s">
        <v>70</v>
      </c>
      <c r="C278" s="6" t="s">
        <v>146</v>
      </c>
      <c r="D278" s="174" t="s">
        <v>613</v>
      </c>
      <c r="E278" s="246"/>
      <c r="F278" s="176">
        <v>1</v>
      </c>
      <c r="G278" s="104">
        <v>1</v>
      </c>
      <c r="H278" s="104">
        <f t="shared" si="14"/>
        <v>0</v>
      </c>
      <c r="I278" s="112" t="s">
        <v>1546</v>
      </c>
      <c r="J278" s="177" t="s">
        <v>1547</v>
      </c>
      <c r="K278" s="177" t="s">
        <v>1548</v>
      </c>
      <c r="L278" s="136" t="s">
        <v>49</v>
      </c>
      <c r="M278" s="136" t="s">
        <v>939</v>
      </c>
      <c r="N278" s="104">
        <v>1</v>
      </c>
      <c r="O278" s="102"/>
    </row>
    <row r="279" spans="1:15" s="128" customFormat="1" ht="14.25" customHeight="1" x14ac:dyDescent="0.3">
      <c r="A279" s="125" t="s">
        <v>67</v>
      </c>
      <c r="B279" s="21" t="s">
        <v>71</v>
      </c>
      <c r="C279" s="6" t="s">
        <v>142</v>
      </c>
      <c r="D279" s="30" t="s">
        <v>614</v>
      </c>
      <c r="E279" s="246" t="s">
        <v>812</v>
      </c>
      <c r="F279" s="176">
        <v>1</v>
      </c>
      <c r="G279" s="104">
        <v>1</v>
      </c>
      <c r="H279" s="179">
        <f>F279-G279</f>
        <v>0</v>
      </c>
      <c r="I279" s="179"/>
      <c r="J279" s="180" t="s">
        <v>1549</v>
      </c>
      <c r="K279" s="104"/>
      <c r="L279" s="125"/>
      <c r="M279" s="125"/>
      <c r="N279" s="104">
        <v>1</v>
      </c>
      <c r="O279" s="125" t="s">
        <v>1550</v>
      </c>
    </row>
    <row r="280" spans="1:15" s="128" customFormat="1" ht="14.25" customHeight="1" x14ac:dyDescent="0.3">
      <c r="A280" s="125" t="s">
        <v>67</v>
      </c>
      <c r="B280" s="21" t="s">
        <v>71</v>
      </c>
      <c r="C280" s="6" t="s">
        <v>142</v>
      </c>
      <c r="D280" s="30" t="s">
        <v>614</v>
      </c>
      <c r="E280" s="246"/>
      <c r="F280" s="176">
        <v>1</v>
      </c>
      <c r="G280" s="104">
        <v>1</v>
      </c>
      <c r="H280" s="179">
        <f t="shared" ref="H280:H304" si="15">F280-G280</f>
        <v>0</v>
      </c>
      <c r="I280" s="179"/>
      <c r="J280" s="180" t="s">
        <v>1551</v>
      </c>
      <c r="K280" s="104"/>
      <c r="L280" s="125"/>
      <c r="M280" s="125"/>
      <c r="N280" s="104">
        <v>1</v>
      </c>
      <c r="O280" s="125" t="s">
        <v>1550</v>
      </c>
    </row>
    <row r="281" spans="1:15" s="128" customFormat="1" ht="14.25" customHeight="1" x14ac:dyDescent="0.3">
      <c r="A281" s="125" t="s">
        <v>67</v>
      </c>
      <c r="B281" s="21" t="s">
        <v>71</v>
      </c>
      <c r="C281" s="6" t="s">
        <v>142</v>
      </c>
      <c r="D281" s="30" t="s">
        <v>614</v>
      </c>
      <c r="E281" s="246"/>
      <c r="F281" s="176">
        <v>1</v>
      </c>
      <c r="G281" s="104">
        <v>1</v>
      </c>
      <c r="H281" s="179">
        <f t="shared" si="15"/>
        <v>0</v>
      </c>
      <c r="I281" s="179"/>
      <c r="J281" s="180" t="s">
        <v>1552</v>
      </c>
      <c r="K281" s="104"/>
      <c r="L281" s="125"/>
      <c r="M281" s="125"/>
      <c r="N281" s="104">
        <v>1</v>
      </c>
      <c r="O281" s="125" t="s">
        <v>1550</v>
      </c>
    </row>
    <row r="282" spans="1:15" s="128" customFormat="1" ht="14.25" customHeight="1" x14ac:dyDescent="0.3">
      <c r="A282" s="125" t="s">
        <v>67</v>
      </c>
      <c r="B282" s="21" t="s">
        <v>71</v>
      </c>
      <c r="C282" s="6" t="s">
        <v>142</v>
      </c>
      <c r="D282" s="30" t="s">
        <v>614</v>
      </c>
      <c r="E282" s="246"/>
      <c r="F282" s="176">
        <v>1</v>
      </c>
      <c r="G282" s="104">
        <v>1</v>
      </c>
      <c r="H282" s="179">
        <f t="shared" si="15"/>
        <v>0</v>
      </c>
      <c r="I282" s="179"/>
      <c r="J282" s="180" t="s">
        <v>1553</v>
      </c>
      <c r="K282" s="104"/>
      <c r="L282" s="125"/>
      <c r="M282" s="125"/>
      <c r="N282" s="104">
        <v>1</v>
      </c>
      <c r="O282" s="125" t="s">
        <v>1550</v>
      </c>
    </row>
    <row r="283" spans="1:15" s="128" customFormat="1" ht="14.25" customHeight="1" x14ac:dyDescent="0.3">
      <c r="A283" s="125" t="s">
        <v>67</v>
      </c>
      <c r="B283" s="21" t="s">
        <v>71</v>
      </c>
      <c r="C283" s="6" t="s">
        <v>142</v>
      </c>
      <c r="D283" s="30" t="s">
        <v>615</v>
      </c>
      <c r="E283" s="246" t="s">
        <v>820</v>
      </c>
      <c r="F283" s="176">
        <v>1</v>
      </c>
      <c r="G283" s="104">
        <v>1</v>
      </c>
      <c r="H283" s="179">
        <f t="shared" si="15"/>
        <v>0</v>
      </c>
      <c r="I283" s="179"/>
      <c r="J283" s="180" t="s">
        <v>1554</v>
      </c>
      <c r="K283" s="104"/>
      <c r="L283" s="125"/>
      <c r="M283" s="125"/>
      <c r="N283" s="104">
        <v>1</v>
      </c>
      <c r="O283" s="125" t="s">
        <v>1550</v>
      </c>
    </row>
    <row r="284" spans="1:15" s="128" customFormat="1" ht="14.25" customHeight="1" x14ac:dyDescent="0.3">
      <c r="A284" s="125" t="s">
        <v>67</v>
      </c>
      <c r="B284" s="21" t="s">
        <v>71</v>
      </c>
      <c r="C284" s="6" t="s">
        <v>142</v>
      </c>
      <c r="D284" s="30" t="s">
        <v>615</v>
      </c>
      <c r="E284" s="246"/>
      <c r="F284" s="176">
        <v>1</v>
      </c>
      <c r="G284" s="104">
        <v>1</v>
      </c>
      <c r="H284" s="179">
        <f t="shared" si="15"/>
        <v>0</v>
      </c>
      <c r="I284" s="179"/>
      <c r="J284" s="180" t="s">
        <v>1555</v>
      </c>
      <c r="K284" s="104"/>
      <c r="L284" s="125"/>
      <c r="M284" s="125"/>
      <c r="N284" s="104">
        <v>1</v>
      </c>
      <c r="O284" s="125" t="s">
        <v>1550</v>
      </c>
    </row>
    <row r="285" spans="1:15" s="128" customFormat="1" ht="14.25" customHeight="1" x14ac:dyDescent="0.3">
      <c r="A285" s="125" t="s">
        <v>67</v>
      </c>
      <c r="B285" s="21" t="s">
        <v>71</v>
      </c>
      <c r="C285" s="6" t="s">
        <v>142</v>
      </c>
      <c r="D285" s="30" t="s">
        <v>615</v>
      </c>
      <c r="E285" s="246"/>
      <c r="F285" s="176">
        <v>1</v>
      </c>
      <c r="G285" s="104">
        <v>1</v>
      </c>
      <c r="H285" s="179">
        <f t="shared" si="15"/>
        <v>0</v>
      </c>
      <c r="I285" s="179"/>
      <c r="J285" s="180" t="s">
        <v>1556</v>
      </c>
      <c r="K285" s="104"/>
      <c r="L285" s="125"/>
      <c r="M285" s="125"/>
      <c r="N285" s="104">
        <v>1</v>
      </c>
      <c r="O285" s="125" t="s">
        <v>1550</v>
      </c>
    </row>
    <row r="286" spans="1:15" s="128" customFormat="1" ht="14.25" customHeight="1" x14ac:dyDescent="0.3">
      <c r="A286" s="125" t="s">
        <v>67</v>
      </c>
      <c r="B286" s="21" t="s">
        <v>71</v>
      </c>
      <c r="C286" s="6" t="s">
        <v>142</v>
      </c>
      <c r="D286" s="30" t="s">
        <v>615</v>
      </c>
      <c r="E286" s="246"/>
      <c r="F286" s="176">
        <v>1</v>
      </c>
      <c r="G286" s="104">
        <v>1</v>
      </c>
      <c r="H286" s="179">
        <f t="shared" si="15"/>
        <v>0</v>
      </c>
      <c r="I286" s="179"/>
      <c r="J286" s="180" t="s">
        <v>1557</v>
      </c>
      <c r="K286" s="104"/>
      <c r="L286" s="125"/>
      <c r="M286" s="125"/>
      <c r="N286" s="104">
        <v>1</v>
      </c>
      <c r="O286" s="125" t="s">
        <v>1550</v>
      </c>
    </row>
    <row r="287" spans="1:15" s="128" customFormat="1" ht="14.25" customHeight="1" x14ac:dyDescent="0.3">
      <c r="A287" s="125" t="s">
        <v>67</v>
      </c>
      <c r="B287" s="21" t="s">
        <v>72</v>
      </c>
      <c r="C287" s="6" t="s">
        <v>143</v>
      </c>
      <c r="D287" s="30" t="s">
        <v>616</v>
      </c>
      <c r="E287" s="246" t="s">
        <v>823</v>
      </c>
      <c r="F287" s="176">
        <v>1</v>
      </c>
      <c r="G287" s="104">
        <v>1</v>
      </c>
      <c r="H287" s="179">
        <f t="shared" si="15"/>
        <v>0</v>
      </c>
      <c r="I287" s="179"/>
      <c r="J287" s="180" t="s">
        <v>1558</v>
      </c>
      <c r="K287" s="104"/>
      <c r="L287" s="125"/>
      <c r="M287" s="125"/>
      <c r="N287" s="104">
        <v>1</v>
      </c>
      <c r="O287" s="125" t="s">
        <v>1550</v>
      </c>
    </row>
    <row r="288" spans="1:15" s="128" customFormat="1" ht="14.25" customHeight="1" x14ac:dyDescent="0.3">
      <c r="A288" s="125" t="s">
        <v>67</v>
      </c>
      <c r="B288" s="21" t="s">
        <v>72</v>
      </c>
      <c r="C288" s="6" t="s">
        <v>143</v>
      </c>
      <c r="D288" s="30" t="s">
        <v>616</v>
      </c>
      <c r="E288" s="246"/>
      <c r="F288" s="176">
        <v>1</v>
      </c>
      <c r="G288" s="104">
        <v>1</v>
      </c>
      <c r="H288" s="179">
        <f t="shared" si="15"/>
        <v>0</v>
      </c>
      <c r="I288" s="179"/>
      <c r="J288" s="180" t="s">
        <v>1559</v>
      </c>
      <c r="K288" s="104"/>
      <c r="L288" s="125"/>
      <c r="M288" s="125"/>
      <c r="N288" s="104">
        <v>1</v>
      </c>
      <c r="O288" s="125" t="s">
        <v>1550</v>
      </c>
    </row>
    <row r="289" spans="1:15" s="128" customFormat="1" ht="14.25" customHeight="1" x14ac:dyDescent="0.3">
      <c r="A289" s="125" t="s">
        <v>67</v>
      </c>
      <c r="B289" s="21" t="s">
        <v>72</v>
      </c>
      <c r="C289" s="6" t="s">
        <v>143</v>
      </c>
      <c r="D289" s="30" t="s">
        <v>616</v>
      </c>
      <c r="E289" s="246"/>
      <c r="F289" s="176">
        <v>1</v>
      </c>
      <c r="G289" s="104">
        <v>1</v>
      </c>
      <c r="H289" s="179">
        <f t="shared" si="15"/>
        <v>0</v>
      </c>
      <c r="I289" s="179"/>
      <c r="J289" s="180" t="s">
        <v>1560</v>
      </c>
      <c r="K289" s="104"/>
      <c r="L289" s="125"/>
      <c r="M289" s="125"/>
      <c r="N289" s="104">
        <v>1</v>
      </c>
      <c r="O289" s="125" t="s">
        <v>1550</v>
      </c>
    </row>
    <row r="290" spans="1:15" s="128" customFormat="1" ht="14.25" customHeight="1" x14ac:dyDescent="0.3">
      <c r="A290" s="125" t="s">
        <v>67</v>
      </c>
      <c r="B290" s="21" t="s">
        <v>72</v>
      </c>
      <c r="C290" s="6" t="s">
        <v>143</v>
      </c>
      <c r="D290" s="30" t="s">
        <v>616</v>
      </c>
      <c r="E290" s="246"/>
      <c r="F290" s="176">
        <v>1</v>
      </c>
      <c r="G290" s="104">
        <v>1</v>
      </c>
      <c r="H290" s="179">
        <f t="shared" si="15"/>
        <v>0</v>
      </c>
      <c r="I290" s="179"/>
      <c r="J290" s="180" t="s">
        <v>1561</v>
      </c>
      <c r="K290" s="104"/>
      <c r="L290" s="125"/>
      <c r="M290" s="125"/>
      <c r="N290" s="104">
        <v>1</v>
      </c>
      <c r="O290" s="125" t="s">
        <v>1550</v>
      </c>
    </row>
    <row r="291" spans="1:15" s="128" customFormat="1" ht="14.25" customHeight="1" x14ac:dyDescent="0.3">
      <c r="A291" s="125" t="s">
        <v>67</v>
      </c>
      <c r="B291" s="21" t="s">
        <v>72</v>
      </c>
      <c r="C291" s="6" t="s">
        <v>143</v>
      </c>
      <c r="D291" s="30" t="s">
        <v>616</v>
      </c>
      <c r="E291" s="246"/>
      <c r="F291" s="176">
        <v>1</v>
      </c>
      <c r="G291" s="104">
        <v>1</v>
      </c>
      <c r="H291" s="179">
        <f t="shared" si="15"/>
        <v>0</v>
      </c>
      <c r="I291" s="179"/>
      <c r="J291" s="180" t="s">
        <v>1562</v>
      </c>
      <c r="K291" s="104"/>
      <c r="L291" s="125"/>
      <c r="M291" s="125"/>
      <c r="N291" s="104">
        <v>1</v>
      </c>
      <c r="O291" s="125" t="s">
        <v>1550</v>
      </c>
    </row>
    <row r="292" spans="1:15" s="128" customFormat="1" ht="14.25" customHeight="1" x14ac:dyDescent="0.3">
      <c r="A292" s="125" t="s">
        <v>67</v>
      </c>
      <c r="B292" s="21" t="s">
        <v>72</v>
      </c>
      <c r="C292" s="6" t="s">
        <v>143</v>
      </c>
      <c r="D292" s="30" t="s">
        <v>616</v>
      </c>
      <c r="E292" s="246"/>
      <c r="F292" s="176">
        <v>1</v>
      </c>
      <c r="G292" s="104">
        <v>1</v>
      </c>
      <c r="H292" s="179">
        <f t="shared" si="15"/>
        <v>0</v>
      </c>
      <c r="I292" s="179"/>
      <c r="J292" s="180" t="s">
        <v>1563</v>
      </c>
      <c r="K292" s="104"/>
      <c r="L292" s="125"/>
      <c r="M292" s="125"/>
      <c r="N292" s="104">
        <v>1</v>
      </c>
      <c r="O292" s="125" t="s">
        <v>1550</v>
      </c>
    </row>
    <row r="293" spans="1:15" s="128" customFormat="1" ht="14.25" customHeight="1" x14ac:dyDescent="0.3">
      <c r="A293" s="125" t="s">
        <v>67</v>
      </c>
      <c r="B293" s="21" t="s">
        <v>72</v>
      </c>
      <c r="C293" s="6" t="s">
        <v>143</v>
      </c>
      <c r="D293" s="30" t="s">
        <v>616</v>
      </c>
      <c r="E293" s="246"/>
      <c r="F293" s="176">
        <v>1</v>
      </c>
      <c r="G293" s="104">
        <v>1</v>
      </c>
      <c r="H293" s="179">
        <f t="shared" si="15"/>
        <v>0</v>
      </c>
      <c r="I293" s="179"/>
      <c r="J293" s="180" t="s">
        <v>1564</v>
      </c>
      <c r="K293" s="104"/>
      <c r="L293" s="125"/>
      <c r="M293" s="125"/>
      <c r="N293" s="104">
        <v>1</v>
      </c>
      <c r="O293" s="125" t="s">
        <v>1550</v>
      </c>
    </row>
    <row r="294" spans="1:15" s="128" customFormat="1" ht="14.25" customHeight="1" x14ac:dyDescent="0.3">
      <c r="A294" s="125" t="s">
        <v>67</v>
      </c>
      <c r="B294" s="21" t="s">
        <v>72</v>
      </c>
      <c r="C294" s="6" t="s">
        <v>143</v>
      </c>
      <c r="D294" s="30" t="s">
        <v>616</v>
      </c>
      <c r="E294" s="246"/>
      <c r="F294" s="176">
        <v>1</v>
      </c>
      <c r="G294" s="104">
        <v>1</v>
      </c>
      <c r="H294" s="179">
        <f t="shared" si="15"/>
        <v>0</v>
      </c>
      <c r="I294" s="179"/>
      <c r="J294" s="180" t="s">
        <v>1565</v>
      </c>
      <c r="K294" s="104"/>
      <c r="L294" s="125"/>
      <c r="M294" s="125"/>
      <c r="N294" s="104">
        <v>1</v>
      </c>
      <c r="O294" s="125" t="s">
        <v>1550</v>
      </c>
    </row>
    <row r="295" spans="1:15" s="128" customFormat="1" ht="14.25" customHeight="1" x14ac:dyDescent="0.3">
      <c r="A295" s="125" t="s">
        <v>67</v>
      </c>
      <c r="B295" s="21" t="s">
        <v>72</v>
      </c>
      <c r="C295" s="6" t="s">
        <v>143</v>
      </c>
      <c r="D295" s="30" t="s">
        <v>616</v>
      </c>
      <c r="E295" s="246"/>
      <c r="F295" s="176">
        <v>1</v>
      </c>
      <c r="G295" s="104">
        <v>1</v>
      </c>
      <c r="H295" s="179">
        <f t="shared" si="15"/>
        <v>0</v>
      </c>
      <c r="I295" s="179"/>
      <c r="J295" s="180" t="s">
        <v>1566</v>
      </c>
      <c r="K295" s="104"/>
      <c r="L295" s="125"/>
      <c r="M295" s="125"/>
      <c r="N295" s="104">
        <v>1</v>
      </c>
      <c r="O295" s="125" t="s">
        <v>1550</v>
      </c>
    </row>
    <row r="296" spans="1:15" s="128" customFormat="1" ht="13.8" x14ac:dyDescent="0.3">
      <c r="A296" s="125" t="s">
        <v>67</v>
      </c>
      <c r="B296" s="21" t="s">
        <v>72</v>
      </c>
      <c r="C296" s="6" t="s">
        <v>143</v>
      </c>
      <c r="D296" s="30" t="s">
        <v>617</v>
      </c>
      <c r="E296" s="246" t="s">
        <v>829</v>
      </c>
      <c r="F296" s="176">
        <v>1</v>
      </c>
      <c r="G296" s="104">
        <v>0</v>
      </c>
      <c r="H296" s="179">
        <f t="shared" si="15"/>
        <v>1</v>
      </c>
      <c r="I296" s="179"/>
      <c r="J296" s="180" t="s">
        <v>1567</v>
      </c>
      <c r="K296" s="125"/>
      <c r="L296" s="125"/>
      <c r="M296" s="125"/>
      <c r="N296" s="104">
        <v>0</v>
      </c>
      <c r="O296" s="136" t="s">
        <v>1568</v>
      </c>
    </row>
    <row r="297" spans="1:15" s="128" customFormat="1" ht="13.8" x14ac:dyDescent="0.3">
      <c r="A297" s="125" t="s">
        <v>67</v>
      </c>
      <c r="B297" s="21" t="s">
        <v>72</v>
      </c>
      <c r="C297" s="6" t="s">
        <v>143</v>
      </c>
      <c r="D297" s="30" t="s">
        <v>617</v>
      </c>
      <c r="E297" s="246"/>
      <c r="F297" s="176">
        <v>1</v>
      </c>
      <c r="G297" s="104">
        <v>0</v>
      </c>
      <c r="H297" s="179">
        <f t="shared" si="15"/>
        <v>1</v>
      </c>
      <c r="I297" s="179"/>
      <c r="J297" s="180" t="s">
        <v>1567</v>
      </c>
      <c r="K297" s="125"/>
      <c r="L297" s="125"/>
      <c r="M297" s="125"/>
      <c r="N297" s="104">
        <v>0</v>
      </c>
      <c r="O297" s="136" t="s">
        <v>1568</v>
      </c>
    </row>
    <row r="298" spans="1:15" s="128" customFormat="1" ht="13.8" x14ac:dyDescent="0.3">
      <c r="A298" s="125" t="s">
        <v>67</v>
      </c>
      <c r="B298" s="21" t="s">
        <v>72</v>
      </c>
      <c r="C298" s="6" t="s">
        <v>143</v>
      </c>
      <c r="D298" s="30" t="s">
        <v>617</v>
      </c>
      <c r="E298" s="246"/>
      <c r="F298" s="176">
        <v>1</v>
      </c>
      <c r="G298" s="104">
        <v>0</v>
      </c>
      <c r="H298" s="179">
        <f t="shared" si="15"/>
        <v>1</v>
      </c>
      <c r="I298" s="179"/>
      <c r="J298" s="180" t="s">
        <v>1567</v>
      </c>
      <c r="K298" s="125"/>
      <c r="L298" s="125"/>
      <c r="M298" s="125"/>
      <c r="N298" s="104">
        <v>0</v>
      </c>
      <c r="O298" s="136" t="s">
        <v>1568</v>
      </c>
    </row>
    <row r="299" spans="1:15" s="128" customFormat="1" ht="13.8" x14ac:dyDescent="0.3">
      <c r="A299" s="125" t="s">
        <v>67</v>
      </c>
      <c r="B299" s="21" t="s">
        <v>72</v>
      </c>
      <c r="C299" s="6" t="s">
        <v>143</v>
      </c>
      <c r="D299" s="30" t="s">
        <v>617</v>
      </c>
      <c r="E299" s="246"/>
      <c r="F299" s="176">
        <v>1</v>
      </c>
      <c r="G299" s="104">
        <v>0</v>
      </c>
      <c r="H299" s="179">
        <f t="shared" si="15"/>
        <v>1</v>
      </c>
      <c r="I299" s="179"/>
      <c r="J299" s="180" t="s">
        <v>1567</v>
      </c>
      <c r="K299" s="125"/>
      <c r="L299" s="125"/>
      <c r="M299" s="125"/>
      <c r="N299" s="104">
        <v>0</v>
      </c>
      <c r="O299" s="136" t="s">
        <v>1568</v>
      </c>
    </row>
    <row r="300" spans="1:15" s="128" customFormat="1" ht="13.8" x14ac:dyDescent="0.3">
      <c r="A300" s="125" t="s">
        <v>67</v>
      </c>
      <c r="B300" s="21" t="s">
        <v>72</v>
      </c>
      <c r="C300" s="6" t="s">
        <v>143</v>
      </c>
      <c r="D300" s="30" t="s">
        <v>617</v>
      </c>
      <c r="E300" s="246"/>
      <c r="F300" s="176">
        <v>1</v>
      </c>
      <c r="G300" s="104">
        <v>0</v>
      </c>
      <c r="H300" s="179">
        <f t="shared" si="15"/>
        <v>1</v>
      </c>
      <c r="I300" s="179"/>
      <c r="J300" s="180" t="s">
        <v>1567</v>
      </c>
      <c r="K300" s="125"/>
      <c r="L300" s="125"/>
      <c r="M300" s="125"/>
      <c r="N300" s="104">
        <v>0</v>
      </c>
      <c r="O300" s="136" t="s">
        <v>1568</v>
      </c>
    </row>
    <row r="301" spans="1:15" s="128" customFormat="1" ht="13.8" x14ac:dyDescent="0.3">
      <c r="A301" s="125" t="s">
        <v>67</v>
      </c>
      <c r="B301" s="21" t="s">
        <v>72</v>
      </c>
      <c r="C301" s="6" t="s">
        <v>143</v>
      </c>
      <c r="D301" s="30" t="s">
        <v>617</v>
      </c>
      <c r="E301" s="246"/>
      <c r="F301" s="176">
        <v>1</v>
      </c>
      <c r="G301" s="104">
        <v>0</v>
      </c>
      <c r="H301" s="179">
        <f t="shared" si="15"/>
        <v>1</v>
      </c>
      <c r="I301" s="179"/>
      <c r="J301" s="180" t="s">
        <v>1567</v>
      </c>
      <c r="K301" s="125"/>
      <c r="L301" s="125"/>
      <c r="M301" s="125"/>
      <c r="N301" s="104">
        <v>0</v>
      </c>
      <c r="O301" s="136" t="s">
        <v>1568</v>
      </c>
    </row>
    <row r="302" spans="1:15" s="128" customFormat="1" ht="13.8" x14ac:dyDescent="0.3">
      <c r="A302" s="125" t="s">
        <v>67</v>
      </c>
      <c r="B302" s="21" t="s">
        <v>72</v>
      </c>
      <c r="C302" s="6" t="s">
        <v>143</v>
      </c>
      <c r="D302" s="30" t="s">
        <v>617</v>
      </c>
      <c r="E302" s="246"/>
      <c r="F302" s="176">
        <v>1</v>
      </c>
      <c r="G302" s="104">
        <v>0</v>
      </c>
      <c r="H302" s="179">
        <f t="shared" si="15"/>
        <v>1</v>
      </c>
      <c r="I302" s="179"/>
      <c r="J302" s="180" t="s">
        <v>1567</v>
      </c>
      <c r="K302" s="125"/>
      <c r="L302" s="125"/>
      <c r="M302" s="125"/>
      <c r="N302" s="104">
        <v>0</v>
      </c>
      <c r="O302" s="136" t="s">
        <v>1568</v>
      </c>
    </row>
    <row r="303" spans="1:15" s="128" customFormat="1" ht="13.8" x14ac:dyDescent="0.3">
      <c r="A303" s="125" t="s">
        <v>67</v>
      </c>
      <c r="B303" s="21" t="s">
        <v>72</v>
      </c>
      <c r="C303" s="6" t="s">
        <v>143</v>
      </c>
      <c r="D303" s="30" t="s">
        <v>617</v>
      </c>
      <c r="E303" s="246"/>
      <c r="F303" s="176">
        <v>1</v>
      </c>
      <c r="G303" s="104">
        <v>0</v>
      </c>
      <c r="H303" s="179">
        <f t="shared" si="15"/>
        <v>1</v>
      </c>
      <c r="I303" s="179"/>
      <c r="J303" s="180" t="s">
        <v>1567</v>
      </c>
      <c r="K303" s="125"/>
      <c r="L303" s="125"/>
      <c r="M303" s="125"/>
      <c r="N303" s="104">
        <v>0</v>
      </c>
      <c r="O303" s="136" t="s">
        <v>1568</v>
      </c>
    </row>
    <row r="304" spans="1:15" s="128" customFormat="1" ht="13.8" x14ac:dyDescent="0.3">
      <c r="A304" s="125" t="s">
        <v>67</v>
      </c>
      <c r="B304" s="21" t="s">
        <v>72</v>
      </c>
      <c r="C304" s="6" t="s">
        <v>143</v>
      </c>
      <c r="D304" s="30" t="s">
        <v>617</v>
      </c>
      <c r="E304" s="246"/>
      <c r="F304" s="176">
        <v>1</v>
      </c>
      <c r="G304" s="104">
        <v>0</v>
      </c>
      <c r="H304" s="179">
        <f t="shared" si="15"/>
        <v>1</v>
      </c>
      <c r="I304" s="179"/>
      <c r="J304" s="180" t="s">
        <v>1567</v>
      </c>
      <c r="K304" s="125"/>
      <c r="L304" s="125"/>
      <c r="M304" s="125"/>
      <c r="N304" s="104">
        <v>0</v>
      </c>
      <c r="O304" s="136" t="s">
        <v>1568</v>
      </c>
    </row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</sheetData>
  <mergeCells count="100">
    <mergeCell ref="E33:E34"/>
    <mergeCell ref="E12:E13"/>
    <mergeCell ref="E14:E15"/>
    <mergeCell ref="E19:E20"/>
    <mergeCell ref="E29:E30"/>
    <mergeCell ref="E31:E32"/>
    <mergeCell ref="E63:E65"/>
    <mergeCell ref="E35:E36"/>
    <mergeCell ref="E38:E39"/>
    <mergeCell ref="E40:E41"/>
    <mergeCell ref="E42:E43"/>
    <mergeCell ref="E44:E45"/>
    <mergeCell ref="E46:E47"/>
    <mergeCell ref="E49:E50"/>
    <mergeCell ref="E51:E52"/>
    <mergeCell ref="E53:E54"/>
    <mergeCell ref="E59:E60"/>
    <mergeCell ref="E61:E62"/>
    <mergeCell ref="E99:E101"/>
    <mergeCell ref="E66:E68"/>
    <mergeCell ref="E69:E71"/>
    <mergeCell ref="E72:E74"/>
    <mergeCell ref="E75:E77"/>
    <mergeCell ref="E78:E80"/>
    <mergeCell ref="E81:E83"/>
    <mergeCell ref="E84:E86"/>
    <mergeCell ref="E87:E89"/>
    <mergeCell ref="E90:E92"/>
    <mergeCell ref="E93:E95"/>
    <mergeCell ref="E96:E98"/>
    <mergeCell ref="E147:E148"/>
    <mergeCell ref="E102:E104"/>
    <mergeCell ref="E105:E107"/>
    <mergeCell ref="E108:E110"/>
    <mergeCell ref="E111:E113"/>
    <mergeCell ref="E114:E116"/>
    <mergeCell ref="E117:E119"/>
    <mergeCell ref="E120:E122"/>
    <mergeCell ref="E139:E140"/>
    <mergeCell ref="E141:E142"/>
    <mergeCell ref="E143:E144"/>
    <mergeCell ref="E145:E146"/>
    <mergeCell ref="E171:E172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203:E204"/>
    <mergeCell ref="E173:E174"/>
    <mergeCell ref="E175:E176"/>
    <mergeCell ref="E177:E178"/>
    <mergeCell ref="E181:E182"/>
    <mergeCell ref="E184:E185"/>
    <mergeCell ref="E187:E188"/>
    <mergeCell ref="E189:E190"/>
    <mergeCell ref="E192:E193"/>
    <mergeCell ref="E194:E197"/>
    <mergeCell ref="E198:E199"/>
    <mergeCell ref="E200:E201"/>
    <mergeCell ref="E230:E231"/>
    <mergeCell ref="E205:E206"/>
    <mergeCell ref="E207:E208"/>
    <mergeCell ref="E209:E210"/>
    <mergeCell ref="E212:E213"/>
    <mergeCell ref="E214:E215"/>
    <mergeCell ref="E216:E217"/>
    <mergeCell ref="E218:E219"/>
    <mergeCell ref="E220:E221"/>
    <mergeCell ref="E222:E223"/>
    <mergeCell ref="E224:E226"/>
    <mergeCell ref="E227:E228"/>
    <mergeCell ref="E263:E264"/>
    <mergeCell ref="E232:E233"/>
    <mergeCell ref="E234:E235"/>
    <mergeCell ref="E236:E237"/>
    <mergeCell ref="E238:E239"/>
    <mergeCell ref="E240:E241"/>
    <mergeCell ref="E242:E243"/>
    <mergeCell ref="E244:E245"/>
    <mergeCell ref="E246:E247"/>
    <mergeCell ref="E248:E249"/>
    <mergeCell ref="E250:E252"/>
    <mergeCell ref="E261:E262"/>
    <mergeCell ref="E279:E282"/>
    <mergeCell ref="E283:E286"/>
    <mergeCell ref="E287:E295"/>
    <mergeCell ref="E296:E304"/>
    <mergeCell ref="E265:E266"/>
    <mergeCell ref="E269:E270"/>
    <mergeCell ref="E271:E272"/>
    <mergeCell ref="E273:E274"/>
    <mergeCell ref="E275:E276"/>
    <mergeCell ref="E277:E278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2EBC-C64C-4002-A22A-8DC9142A3986}">
  <dimension ref="A1"/>
  <sheetViews>
    <sheetView workbookViewId="0">
      <selection activeCell="E21" sqref="E2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838F-214B-4F03-AF0D-BAFEB42188C0}">
  <dimension ref="A1:F9"/>
  <sheetViews>
    <sheetView workbookViewId="0">
      <selection activeCell="E3" sqref="E3"/>
    </sheetView>
  </sheetViews>
  <sheetFormatPr defaultRowHeight="14.4" x14ac:dyDescent="0.3"/>
  <cols>
    <col min="2" max="2" width="20.109375" bestFit="1" customWidth="1"/>
    <col min="3" max="3" width="20.109375" customWidth="1"/>
    <col min="4" max="4" width="13.88671875" bestFit="1" customWidth="1"/>
    <col min="5" max="5" width="14.6640625" customWidth="1"/>
    <col min="6" max="6" width="19" customWidth="1"/>
    <col min="7" max="8" width="15.5546875" customWidth="1"/>
  </cols>
  <sheetData>
    <row r="1" spans="1:6" s="63" customFormat="1" ht="15.6" x14ac:dyDescent="0.3">
      <c r="A1" s="63" t="s">
        <v>755</v>
      </c>
      <c r="D1" s="52"/>
      <c r="E1" s="52"/>
    </row>
    <row r="2" spans="1:6" x14ac:dyDescent="0.3">
      <c r="A2" s="15"/>
    </row>
    <row r="3" spans="1:6" s="32" customFormat="1" ht="28.8" x14ac:dyDescent="0.3">
      <c r="A3" s="41" t="s">
        <v>79</v>
      </c>
      <c r="B3" s="41" t="s">
        <v>646</v>
      </c>
      <c r="C3" s="41" t="s">
        <v>756</v>
      </c>
      <c r="D3" s="41" t="s">
        <v>713</v>
      </c>
      <c r="E3" s="50" t="s">
        <v>1598</v>
      </c>
      <c r="F3" s="41" t="s">
        <v>3</v>
      </c>
    </row>
    <row r="4" spans="1:6" x14ac:dyDescent="0.3">
      <c r="A4" s="55">
        <v>1</v>
      </c>
      <c r="B4" s="14" t="s">
        <v>4</v>
      </c>
      <c r="C4" s="14" t="s">
        <v>757</v>
      </c>
      <c r="D4" s="14"/>
      <c r="E4" s="53"/>
      <c r="F4" s="53"/>
    </row>
    <row r="5" spans="1:6" x14ac:dyDescent="0.3">
      <c r="A5" s="55">
        <v>2</v>
      </c>
      <c r="B5" s="14" t="s">
        <v>28</v>
      </c>
      <c r="C5" s="14" t="s">
        <v>758</v>
      </c>
      <c r="D5" s="14"/>
      <c r="E5" s="53"/>
      <c r="F5" s="53"/>
    </row>
    <row r="6" spans="1:6" x14ac:dyDescent="0.3">
      <c r="A6" s="55">
        <v>3</v>
      </c>
      <c r="B6" s="14" t="s">
        <v>30</v>
      </c>
      <c r="C6" s="14" t="s">
        <v>759</v>
      </c>
      <c r="D6" s="14"/>
      <c r="E6" s="53"/>
      <c r="F6" s="53"/>
    </row>
    <row r="7" spans="1:6" x14ac:dyDescent="0.3">
      <c r="A7" s="55">
        <v>4</v>
      </c>
      <c r="B7" s="53" t="s">
        <v>39</v>
      </c>
      <c r="C7" s="56" t="s">
        <v>760</v>
      </c>
      <c r="D7" s="53"/>
      <c r="E7" s="53"/>
      <c r="F7" s="53"/>
    </row>
    <row r="8" spans="1:6" x14ac:dyDescent="0.3">
      <c r="A8" s="55">
        <v>5</v>
      </c>
      <c r="B8" s="57" t="s">
        <v>62</v>
      </c>
      <c r="C8" s="62" t="s">
        <v>761</v>
      </c>
      <c r="D8" s="14"/>
      <c r="E8" s="53"/>
      <c r="F8" s="53"/>
    </row>
    <row r="9" spans="1:6" x14ac:dyDescent="0.3">
      <c r="A9" s="55">
        <v>6</v>
      </c>
      <c r="B9" s="57" t="s">
        <v>67</v>
      </c>
      <c r="C9" s="62" t="s">
        <v>762</v>
      </c>
      <c r="D9" s="14"/>
      <c r="E9" s="53"/>
      <c r="F9" s="53"/>
    </row>
  </sheetData>
  <phoneticPr fontId="8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577A-E537-4712-A075-E5D84A5B12D5}">
  <dimension ref="A1:J59"/>
  <sheetViews>
    <sheetView workbookViewId="0">
      <pane xSplit="4" ySplit="3" topLeftCell="E52" activePane="bottomRight" state="frozen"/>
      <selection pane="topRight" activeCell="E1" sqref="E1"/>
      <selection pane="bottomLeft" activeCell="A4" sqref="A4"/>
      <selection pane="bottomRight" activeCell="I3" sqref="I3"/>
    </sheetView>
  </sheetViews>
  <sheetFormatPr defaultRowHeight="14.4" x14ac:dyDescent="0.3"/>
  <cols>
    <col min="1" max="1" width="5.109375" style="15" customWidth="1"/>
    <col min="2" max="2" width="16.77734375" bestFit="1" customWidth="1"/>
    <col min="3" max="3" width="15.33203125" customWidth="1"/>
    <col min="4" max="4" width="20.21875" bestFit="1" customWidth="1"/>
    <col min="5" max="5" width="12.21875" style="15" bestFit="1" customWidth="1"/>
    <col min="6" max="6" width="16" bestFit="1" customWidth="1"/>
    <col min="7" max="7" width="9.88671875" customWidth="1"/>
    <col min="8" max="8" width="11.5546875" bestFit="1" customWidth="1"/>
    <col min="9" max="9" width="14.21875" customWidth="1"/>
    <col min="10" max="10" width="14.44140625" bestFit="1" customWidth="1"/>
  </cols>
  <sheetData>
    <row r="1" spans="1:10" s="63" customFormat="1" ht="15.6" x14ac:dyDescent="0.3">
      <c r="A1" s="63" t="s">
        <v>715</v>
      </c>
      <c r="H1" s="52"/>
      <c r="I1" s="52"/>
    </row>
    <row r="3" spans="1:10" s="32" customFormat="1" ht="28.8" x14ac:dyDescent="0.3">
      <c r="A3" s="41" t="s">
        <v>79</v>
      </c>
      <c r="B3" s="41" t="s">
        <v>99</v>
      </c>
      <c r="C3" s="41" t="s">
        <v>618</v>
      </c>
      <c r="D3" s="41" t="s">
        <v>646</v>
      </c>
      <c r="E3" s="41" t="s">
        <v>93</v>
      </c>
      <c r="F3" s="41" t="s">
        <v>619</v>
      </c>
      <c r="G3" s="41" t="s">
        <v>100</v>
      </c>
      <c r="H3" s="41" t="s">
        <v>713</v>
      </c>
      <c r="I3" s="50" t="s">
        <v>1598</v>
      </c>
      <c r="J3" s="41" t="s">
        <v>3</v>
      </c>
    </row>
    <row r="4" spans="1:10" x14ac:dyDescent="0.3">
      <c r="A4" s="55">
        <v>1</v>
      </c>
      <c r="B4" s="53" t="s">
        <v>82</v>
      </c>
      <c r="C4" s="53" t="s">
        <v>103</v>
      </c>
      <c r="D4" s="14" t="s">
        <v>4</v>
      </c>
      <c r="E4" s="54">
        <v>2</v>
      </c>
      <c r="F4" s="14" t="s">
        <v>94</v>
      </c>
      <c r="G4" s="53" t="s">
        <v>73</v>
      </c>
      <c r="H4" s="53"/>
      <c r="I4" s="53"/>
      <c r="J4" s="53"/>
    </row>
    <row r="5" spans="1:10" x14ac:dyDescent="0.3">
      <c r="A5" s="55">
        <v>2</v>
      </c>
      <c r="B5" s="53" t="s">
        <v>83</v>
      </c>
      <c r="C5" s="53" t="s">
        <v>104</v>
      </c>
      <c r="D5" s="14" t="s">
        <v>4</v>
      </c>
      <c r="E5" s="54">
        <v>2</v>
      </c>
      <c r="F5" s="14" t="s">
        <v>94</v>
      </c>
      <c r="G5" s="53" t="s">
        <v>73</v>
      </c>
      <c r="H5" s="53"/>
      <c r="I5" s="53"/>
      <c r="J5" s="53"/>
    </row>
    <row r="6" spans="1:10" x14ac:dyDescent="0.3">
      <c r="A6" s="55">
        <v>3</v>
      </c>
      <c r="B6" s="53" t="s">
        <v>84</v>
      </c>
      <c r="C6" s="53" t="s">
        <v>105</v>
      </c>
      <c r="D6" s="14" t="s">
        <v>4</v>
      </c>
      <c r="E6" s="54">
        <v>2</v>
      </c>
      <c r="F6" s="14" t="s">
        <v>94</v>
      </c>
      <c r="G6" s="53" t="s">
        <v>73</v>
      </c>
      <c r="H6" s="53"/>
      <c r="I6" s="53"/>
      <c r="J6" s="53"/>
    </row>
    <row r="7" spans="1:10" x14ac:dyDescent="0.3">
      <c r="A7" s="55">
        <v>4</v>
      </c>
      <c r="B7" s="53" t="s">
        <v>85</v>
      </c>
      <c r="C7" s="53" t="s">
        <v>106</v>
      </c>
      <c r="D7" s="14" t="s">
        <v>4</v>
      </c>
      <c r="E7" s="54">
        <v>2</v>
      </c>
      <c r="F7" s="14" t="s">
        <v>94</v>
      </c>
      <c r="G7" s="53" t="s">
        <v>73</v>
      </c>
      <c r="H7" s="53"/>
      <c r="I7" s="53"/>
      <c r="J7" s="53"/>
    </row>
    <row r="8" spans="1:10" x14ac:dyDescent="0.3">
      <c r="A8" s="55">
        <v>5</v>
      </c>
      <c r="B8" s="53" t="s">
        <v>86</v>
      </c>
      <c r="C8" s="53" t="s">
        <v>107</v>
      </c>
      <c r="D8" s="14" t="s">
        <v>4</v>
      </c>
      <c r="E8" s="54">
        <v>2</v>
      </c>
      <c r="F8" s="14" t="s">
        <v>94</v>
      </c>
      <c r="G8" s="53" t="s">
        <v>73</v>
      </c>
      <c r="H8" s="53"/>
      <c r="I8" s="53"/>
      <c r="J8" s="53"/>
    </row>
    <row r="9" spans="1:10" x14ac:dyDescent="0.3">
      <c r="A9" s="55">
        <v>6</v>
      </c>
      <c r="B9" s="53" t="s">
        <v>87</v>
      </c>
      <c r="C9" s="53" t="s">
        <v>108</v>
      </c>
      <c r="D9" s="14" t="s">
        <v>4</v>
      </c>
      <c r="E9" s="54">
        <v>2</v>
      </c>
      <c r="F9" s="14" t="s">
        <v>94</v>
      </c>
      <c r="G9" s="53" t="s">
        <v>73</v>
      </c>
      <c r="H9" s="53"/>
      <c r="I9" s="53"/>
      <c r="J9" s="53"/>
    </row>
    <row r="10" spans="1:10" x14ac:dyDescent="0.3">
      <c r="A10" s="55">
        <v>7</v>
      </c>
      <c r="B10" s="53" t="s">
        <v>88</v>
      </c>
      <c r="C10" s="53" t="s">
        <v>109</v>
      </c>
      <c r="D10" s="14" t="s">
        <v>4</v>
      </c>
      <c r="E10" s="54">
        <v>2</v>
      </c>
      <c r="F10" s="14" t="s">
        <v>94</v>
      </c>
      <c r="G10" s="53" t="s">
        <v>73</v>
      </c>
      <c r="H10" s="53"/>
      <c r="I10" s="53"/>
      <c r="J10" s="53"/>
    </row>
    <row r="11" spans="1:10" x14ac:dyDescent="0.3">
      <c r="A11" s="55">
        <v>8</v>
      </c>
      <c r="B11" s="53" t="s">
        <v>89</v>
      </c>
      <c r="C11" s="53" t="s">
        <v>110</v>
      </c>
      <c r="D11" s="14" t="s">
        <v>4</v>
      </c>
      <c r="E11" s="54">
        <v>2</v>
      </c>
      <c r="F11" s="14" t="s">
        <v>94</v>
      </c>
      <c r="G11" s="53" t="s">
        <v>73</v>
      </c>
      <c r="H11" s="53"/>
      <c r="I11" s="53"/>
      <c r="J11" s="53"/>
    </row>
    <row r="12" spans="1:10" x14ac:dyDescent="0.3">
      <c r="A12" s="55">
        <v>9</v>
      </c>
      <c r="B12" s="53" t="s">
        <v>90</v>
      </c>
      <c r="C12" s="53" t="s">
        <v>111</v>
      </c>
      <c r="D12" s="14" t="s">
        <v>4</v>
      </c>
      <c r="E12" s="54">
        <v>2</v>
      </c>
      <c r="F12" s="14" t="s">
        <v>94</v>
      </c>
      <c r="G12" s="53" t="s">
        <v>73</v>
      </c>
      <c r="H12" s="53"/>
      <c r="I12" s="53"/>
      <c r="J12" s="53"/>
    </row>
    <row r="13" spans="1:10" x14ac:dyDescent="0.3">
      <c r="A13" s="55">
        <v>10</v>
      </c>
      <c r="B13" s="53" t="s">
        <v>91</v>
      </c>
      <c r="C13" s="53" t="s">
        <v>112</v>
      </c>
      <c r="D13" s="14" t="s">
        <v>4</v>
      </c>
      <c r="E13" s="54">
        <v>2</v>
      </c>
      <c r="F13" s="14" t="s">
        <v>94</v>
      </c>
      <c r="G13" s="53" t="s">
        <v>73</v>
      </c>
      <c r="H13" s="53"/>
      <c r="I13" s="53"/>
      <c r="J13" s="53"/>
    </row>
    <row r="14" spans="1:10" x14ac:dyDescent="0.3">
      <c r="A14" s="55">
        <v>11</v>
      </c>
      <c r="B14" s="53" t="s">
        <v>74</v>
      </c>
      <c r="C14" s="53" t="s">
        <v>113</v>
      </c>
      <c r="D14" s="14" t="s">
        <v>4</v>
      </c>
      <c r="E14" s="54">
        <v>40</v>
      </c>
      <c r="F14" s="14" t="s">
        <v>94</v>
      </c>
      <c r="G14" s="53" t="s">
        <v>73</v>
      </c>
      <c r="H14" s="53"/>
      <c r="I14" s="53"/>
      <c r="J14" s="53"/>
    </row>
    <row r="15" spans="1:10" x14ac:dyDescent="0.3">
      <c r="A15" s="55">
        <v>12</v>
      </c>
      <c r="B15" s="53" t="s">
        <v>75</v>
      </c>
      <c r="C15" s="53" t="s">
        <v>114</v>
      </c>
      <c r="D15" s="14" t="s">
        <v>4</v>
      </c>
      <c r="E15" s="54">
        <v>40</v>
      </c>
      <c r="F15" s="14" t="s">
        <v>94</v>
      </c>
      <c r="G15" s="53" t="s">
        <v>73</v>
      </c>
      <c r="H15" s="53"/>
      <c r="I15" s="53"/>
      <c r="J15" s="53"/>
    </row>
    <row r="16" spans="1:10" x14ac:dyDescent="0.3">
      <c r="A16" s="55">
        <v>13</v>
      </c>
      <c r="B16" s="53" t="s">
        <v>76</v>
      </c>
      <c r="C16" s="53" t="s">
        <v>115</v>
      </c>
      <c r="D16" s="14" t="s">
        <v>4</v>
      </c>
      <c r="E16" s="54">
        <v>40</v>
      </c>
      <c r="F16" s="14" t="s">
        <v>94</v>
      </c>
      <c r="G16" s="53" t="s">
        <v>73</v>
      </c>
      <c r="H16" s="53"/>
      <c r="I16" s="53"/>
      <c r="J16" s="53"/>
    </row>
    <row r="17" spans="1:10" x14ac:dyDescent="0.3">
      <c r="A17" s="55">
        <v>14</v>
      </c>
      <c r="B17" s="53" t="s">
        <v>77</v>
      </c>
      <c r="C17" s="53" t="s">
        <v>116</v>
      </c>
      <c r="D17" s="14" t="s">
        <v>28</v>
      </c>
      <c r="E17" s="54">
        <v>40</v>
      </c>
      <c r="F17" s="14" t="s">
        <v>94</v>
      </c>
      <c r="G17" s="53" t="s">
        <v>73</v>
      </c>
      <c r="H17" s="53"/>
      <c r="I17" s="53"/>
      <c r="J17" s="53"/>
    </row>
    <row r="18" spans="1:10" x14ac:dyDescent="0.3">
      <c r="A18" s="55">
        <v>15</v>
      </c>
      <c r="B18" s="53" t="s">
        <v>78</v>
      </c>
      <c r="C18" s="53" t="s">
        <v>117</v>
      </c>
      <c r="D18" s="14" t="s">
        <v>28</v>
      </c>
      <c r="E18" s="54">
        <v>40</v>
      </c>
      <c r="F18" s="14" t="s">
        <v>94</v>
      </c>
      <c r="G18" s="53" t="s">
        <v>73</v>
      </c>
      <c r="H18" s="53"/>
      <c r="I18" s="53"/>
      <c r="J18" s="53"/>
    </row>
    <row r="19" spans="1:10" x14ac:dyDescent="0.3">
      <c r="A19" s="55">
        <v>16</v>
      </c>
      <c r="B19" s="53" t="s">
        <v>31</v>
      </c>
      <c r="C19" s="53" t="s">
        <v>151</v>
      </c>
      <c r="D19" s="14" t="s">
        <v>30</v>
      </c>
      <c r="E19" s="54">
        <v>10</v>
      </c>
      <c r="F19" s="14" t="s">
        <v>94</v>
      </c>
      <c r="G19" s="53" t="s">
        <v>73</v>
      </c>
      <c r="H19" s="53"/>
      <c r="I19" s="53"/>
      <c r="J19" s="53"/>
    </row>
    <row r="20" spans="1:10" x14ac:dyDescent="0.3">
      <c r="A20" s="55">
        <v>17</v>
      </c>
      <c r="B20" s="53" t="s">
        <v>32</v>
      </c>
      <c r="C20" s="53" t="s">
        <v>152</v>
      </c>
      <c r="D20" s="14" t="s">
        <v>30</v>
      </c>
      <c r="E20" s="54">
        <v>10</v>
      </c>
      <c r="F20" s="14" t="s">
        <v>94</v>
      </c>
      <c r="G20" s="53" t="s">
        <v>73</v>
      </c>
      <c r="H20" s="53"/>
      <c r="I20" s="53"/>
      <c r="J20" s="53"/>
    </row>
    <row r="21" spans="1:10" x14ac:dyDescent="0.3">
      <c r="A21" s="55">
        <v>18</v>
      </c>
      <c r="B21" s="53" t="s">
        <v>33</v>
      </c>
      <c r="C21" s="53" t="s">
        <v>153</v>
      </c>
      <c r="D21" s="14" t="s">
        <v>30</v>
      </c>
      <c r="E21" s="54">
        <v>10</v>
      </c>
      <c r="F21" s="14" t="s">
        <v>94</v>
      </c>
      <c r="G21" s="53" t="s">
        <v>73</v>
      </c>
      <c r="H21" s="53"/>
      <c r="I21" s="53"/>
      <c r="J21" s="53"/>
    </row>
    <row r="22" spans="1:10" x14ac:dyDescent="0.3">
      <c r="A22" s="55">
        <v>19</v>
      </c>
      <c r="B22" s="53" t="s">
        <v>34</v>
      </c>
      <c r="C22" s="53" t="s">
        <v>154</v>
      </c>
      <c r="D22" s="14" t="s">
        <v>30</v>
      </c>
      <c r="E22" s="54">
        <v>10</v>
      </c>
      <c r="F22" s="14" t="s">
        <v>94</v>
      </c>
      <c r="G22" s="53" t="s">
        <v>73</v>
      </c>
      <c r="H22" s="53"/>
      <c r="I22" s="53"/>
      <c r="J22" s="53"/>
    </row>
    <row r="23" spans="1:10" x14ac:dyDescent="0.3">
      <c r="A23" s="55">
        <v>20</v>
      </c>
      <c r="B23" s="53" t="s">
        <v>35</v>
      </c>
      <c r="C23" s="53" t="s">
        <v>155</v>
      </c>
      <c r="D23" s="14" t="s">
        <v>30</v>
      </c>
      <c r="E23" s="54">
        <v>10</v>
      </c>
      <c r="F23" s="14" t="s">
        <v>94</v>
      </c>
      <c r="G23" s="53" t="s">
        <v>73</v>
      </c>
      <c r="H23" s="53"/>
      <c r="I23" s="53"/>
      <c r="J23" s="53"/>
    </row>
    <row r="24" spans="1:10" x14ac:dyDescent="0.3">
      <c r="A24" s="55">
        <v>21</v>
      </c>
      <c r="B24" s="53" t="s">
        <v>36</v>
      </c>
      <c r="C24" s="53" t="s">
        <v>156</v>
      </c>
      <c r="D24" s="14" t="s">
        <v>30</v>
      </c>
      <c r="E24" s="54">
        <v>10</v>
      </c>
      <c r="F24" s="14" t="s">
        <v>94</v>
      </c>
      <c r="G24" s="53" t="s">
        <v>73</v>
      </c>
      <c r="H24" s="53"/>
      <c r="I24" s="53"/>
      <c r="J24" s="53"/>
    </row>
    <row r="25" spans="1:10" x14ac:dyDescent="0.3">
      <c r="A25" s="55">
        <v>22</v>
      </c>
      <c r="B25" s="53" t="s">
        <v>37</v>
      </c>
      <c r="C25" s="53" t="s">
        <v>157</v>
      </c>
      <c r="D25" s="14" t="s">
        <v>30</v>
      </c>
      <c r="E25" s="54">
        <v>10</v>
      </c>
      <c r="F25" s="14" t="s">
        <v>94</v>
      </c>
      <c r="G25" s="53" t="s">
        <v>73</v>
      </c>
      <c r="H25" s="53"/>
      <c r="I25" s="53"/>
      <c r="J25" s="53"/>
    </row>
    <row r="26" spans="1:10" x14ac:dyDescent="0.3">
      <c r="A26" s="55">
        <v>23</v>
      </c>
      <c r="B26" s="53" t="s">
        <v>38</v>
      </c>
      <c r="C26" s="53" t="s">
        <v>158</v>
      </c>
      <c r="D26" s="14" t="s">
        <v>30</v>
      </c>
      <c r="E26" s="54">
        <v>10</v>
      </c>
      <c r="F26" s="14" t="s">
        <v>94</v>
      </c>
      <c r="G26" s="53" t="s">
        <v>73</v>
      </c>
      <c r="H26" s="53"/>
      <c r="I26" s="53"/>
      <c r="J26" s="53"/>
    </row>
    <row r="27" spans="1:10" x14ac:dyDescent="0.3">
      <c r="A27" s="55">
        <v>24</v>
      </c>
      <c r="B27" s="53" t="s">
        <v>40</v>
      </c>
      <c r="C27" s="53" t="s">
        <v>118</v>
      </c>
      <c r="D27" s="53" t="s">
        <v>39</v>
      </c>
      <c r="E27" s="55">
        <v>4</v>
      </c>
      <c r="F27" s="14" t="s">
        <v>94</v>
      </c>
      <c r="G27" s="53" t="s">
        <v>80</v>
      </c>
      <c r="H27" s="53"/>
      <c r="I27" s="53"/>
      <c r="J27" s="53"/>
    </row>
    <row r="28" spans="1:10" x14ac:dyDescent="0.3">
      <c r="A28" s="55">
        <v>25</v>
      </c>
      <c r="B28" s="53" t="s">
        <v>41</v>
      </c>
      <c r="C28" s="53" t="s">
        <v>119</v>
      </c>
      <c r="D28" s="53" t="s">
        <v>39</v>
      </c>
      <c r="E28" s="55">
        <v>4</v>
      </c>
      <c r="F28" s="14" t="s">
        <v>94</v>
      </c>
      <c r="G28" s="53" t="s">
        <v>80</v>
      </c>
      <c r="H28" s="53"/>
      <c r="I28" s="53"/>
      <c r="J28" s="53"/>
    </row>
    <row r="29" spans="1:10" x14ac:dyDescent="0.3">
      <c r="A29" s="55">
        <v>26</v>
      </c>
      <c r="B29" s="53" t="s">
        <v>159</v>
      </c>
      <c r="C29" s="53" t="s">
        <v>120</v>
      </c>
      <c r="D29" s="53" t="s">
        <v>39</v>
      </c>
      <c r="E29" s="55">
        <v>2</v>
      </c>
      <c r="F29" s="14" t="s">
        <v>94</v>
      </c>
      <c r="G29" s="53" t="s">
        <v>80</v>
      </c>
      <c r="H29" s="53"/>
      <c r="I29" s="53"/>
      <c r="J29" s="53"/>
    </row>
    <row r="30" spans="1:10" x14ac:dyDescent="0.3">
      <c r="A30" s="55">
        <v>27</v>
      </c>
      <c r="B30" s="53" t="s">
        <v>42</v>
      </c>
      <c r="C30" s="53" t="s">
        <v>121</v>
      </c>
      <c r="D30" s="53" t="s">
        <v>39</v>
      </c>
      <c r="E30" s="55">
        <v>2</v>
      </c>
      <c r="F30" s="14" t="s">
        <v>94</v>
      </c>
      <c r="G30" s="53" t="s">
        <v>80</v>
      </c>
      <c r="H30" s="53"/>
      <c r="I30" s="53"/>
      <c r="J30" s="53"/>
    </row>
    <row r="31" spans="1:10" x14ac:dyDescent="0.3">
      <c r="A31" s="55">
        <v>28</v>
      </c>
      <c r="B31" s="53" t="s">
        <v>43</v>
      </c>
      <c r="C31" s="53" t="s">
        <v>122</v>
      </c>
      <c r="D31" s="53" t="s">
        <v>39</v>
      </c>
      <c r="E31" s="55">
        <v>3</v>
      </c>
      <c r="F31" s="14" t="s">
        <v>94</v>
      </c>
      <c r="G31" s="53" t="s">
        <v>80</v>
      </c>
      <c r="H31" s="53"/>
      <c r="I31" s="53"/>
      <c r="J31" s="53"/>
    </row>
    <row r="32" spans="1:10" x14ac:dyDescent="0.3">
      <c r="A32" s="55">
        <v>29</v>
      </c>
      <c r="B32" s="53" t="s">
        <v>44</v>
      </c>
      <c r="C32" s="53" t="s">
        <v>123</v>
      </c>
      <c r="D32" s="53" t="s">
        <v>39</v>
      </c>
      <c r="E32" s="55">
        <v>2</v>
      </c>
      <c r="F32" s="14" t="s">
        <v>94</v>
      </c>
      <c r="G32" s="53" t="s">
        <v>80</v>
      </c>
      <c r="H32" s="53"/>
      <c r="I32" s="53"/>
      <c r="J32" s="53"/>
    </row>
    <row r="33" spans="1:10" x14ac:dyDescent="0.3">
      <c r="A33" s="55">
        <v>30</v>
      </c>
      <c r="B33" s="53" t="s">
        <v>45</v>
      </c>
      <c r="C33" s="53" t="s">
        <v>124</v>
      </c>
      <c r="D33" s="53" t="s">
        <v>39</v>
      </c>
      <c r="E33" s="55">
        <v>2</v>
      </c>
      <c r="F33" s="14" t="s">
        <v>94</v>
      </c>
      <c r="G33" s="53" t="s">
        <v>80</v>
      </c>
      <c r="H33" s="53"/>
      <c r="I33" s="53"/>
      <c r="J33" s="53"/>
    </row>
    <row r="34" spans="1:10" x14ac:dyDescent="0.3">
      <c r="A34" s="55">
        <v>31</v>
      </c>
      <c r="B34" s="53" t="s">
        <v>46</v>
      </c>
      <c r="C34" s="53" t="s">
        <v>125</v>
      </c>
      <c r="D34" s="53" t="s">
        <v>39</v>
      </c>
      <c r="E34" s="55">
        <v>2</v>
      </c>
      <c r="F34" s="14" t="s">
        <v>94</v>
      </c>
      <c r="G34" s="53" t="s">
        <v>80</v>
      </c>
      <c r="H34" s="53"/>
      <c r="I34" s="53"/>
      <c r="J34" s="53"/>
    </row>
    <row r="35" spans="1:10" x14ac:dyDescent="0.3">
      <c r="A35" s="55">
        <v>32</v>
      </c>
      <c r="B35" s="53" t="s">
        <v>47</v>
      </c>
      <c r="C35" s="53" t="s">
        <v>126</v>
      </c>
      <c r="D35" s="53" t="s">
        <v>39</v>
      </c>
      <c r="E35" s="55">
        <v>2</v>
      </c>
      <c r="F35" s="14" t="s">
        <v>94</v>
      </c>
      <c r="G35" s="53" t="s">
        <v>80</v>
      </c>
      <c r="H35" s="53"/>
      <c r="I35" s="53"/>
      <c r="J35" s="53"/>
    </row>
    <row r="36" spans="1:10" x14ac:dyDescent="0.3">
      <c r="A36" s="55">
        <v>33</v>
      </c>
      <c r="B36" s="53" t="s">
        <v>48</v>
      </c>
      <c r="C36" s="53" t="s">
        <v>127</v>
      </c>
      <c r="D36" s="53" t="s">
        <v>39</v>
      </c>
      <c r="E36" s="55">
        <v>2</v>
      </c>
      <c r="F36" s="14" t="s">
        <v>94</v>
      </c>
      <c r="G36" s="53" t="s">
        <v>80</v>
      </c>
      <c r="H36" s="53"/>
      <c r="I36" s="53"/>
      <c r="J36" s="53"/>
    </row>
    <row r="37" spans="1:10" x14ac:dyDescent="0.3">
      <c r="A37" s="55">
        <v>34</v>
      </c>
      <c r="B37" s="53" t="s">
        <v>50</v>
      </c>
      <c r="C37" s="53" t="s">
        <v>128</v>
      </c>
      <c r="D37" s="53" t="s">
        <v>39</v>
      </c>
      <c r="E37" s="55">
        <v>2</v>
      </c>
      <c r="F37" s="14" t="s">
        <v>94</v>
      </c>
      <c r="G37" s="53" t="s">
        <v>80</v>
      </c>
      <c r="H37" s="53"/>
      <c r="I37" s="53"/>
      <c r="J37" s="53"/>
    </row>
    <row r="38" spans="1:10" x14ac:dyDescent="0.3">
      <c r="A38" s="55">
        <v>35</v>
      </c>
      <c r="B38" s="53" t="s">
        <v>51</v>
      </c>
      <c r="C38" s="53" t="s">
        <v>129</v>
      </c>
      <c r="D38" s="53" t="s">
        <v>39</v>
      </c>
      <c r="E38" s="55">
        <v>2</v>
      </c>
      <c r="F38" s="14" t="s">
        <v>94</v>
      </c>
      <c r="G38" s="53" t="s">
        <v>80</v>
      </c>
      <c r="H38" s="53"/>
      <c r="I38" s="53"/>
      <c r="J38" s="53"/>
    </row>
    <row r="39" spans="1:10" x14ac:dyDescent="0.3">
      <c r="A39" s="55">
        <v>36</v>
      </c>
      <c r="B39" s="53" t="s">
        <v>53</v>
      </c>
      <c r="C39" s="53" t="s">
        <v>130</v>
      </c>
      <c r="D39" s="53" t="s">
        <v>39</v>
      </c>
      <c r="E39" s="55">
        <v>2</v>
      </c>
      <c r="F39" s="14" t="s">
        <v>94</v>
      </c>
      <c r="G39" s="53" t="s">
        <v>80</v>
      </c>
      <c r="H39" s="53"/>
      <c r="I39" s="53"/>
      <c r="J39" s="53"/>
    </row>
    <row r="40" spans="1:10" x14ac:dyDescent="0.3">
      <c r="A40" s="55">
        <v>37</v>
      </c>
      <c r="B40" s="53" t="s">
        <v>54</v>
      </c>
      <c r="C40" s="53" t="s">
        <v>131</v>
      </c>
      <c r="D40" s="53" t="s">
        <v>39</v>
      </c>
      <c r="E40" s="55">
        <v>2</v>
      </c>
      <c r="F40" s="14" t="s">
        <v>94</v>
      </c>
      <c r="G40" s="53" t="s">
        <v>80</v>
      </c>
      <c r="H40" s="53"/>
      <c r="I40" s="53"/>
      <c r="J40" s="53"/>
    </row>
    <row r="41" spans="1:10" x14ac:dyDescent="0.3">
      <c r="A41" s="55">
        <v>38</v>
      </c>
      <c r="B41" s="53" t="s">
        <v>55</v>
      </c>
      <c r="C41" s="53" t="s">
        <v>132</v>
      </c>
      <c r="D41" s="53" t="s">
        <v>39</v>
      </c>
      <c r="E41" s="55">
        <v>2</v>
      </c>
      <c r="F41" s="14" t="s">
        <v>94</v>
      </c>
      <c r="G41" s="53" t="s">
        <v>80</v>
      </c>
      <c r="H41" s="53"/>
      <c r="I41" s="53"/>
      <c r="J41" s="53"/>
    </row>
    <row r="42" spans="1:10" x14ac:dyDescent="0.3">
      <c r="A42" s="55">
        <v>39</v>
      </c>
      <c r="B42" s="53" t="s">
        <v>57</v>
      </c>
      <c r="C42" s="53" t="s">
        <v>133</v>
      </c>
      <c r="D42" s="53" t="s">
        <v>39</v>
      </c>
      <c r="E42" s="55">
        <v>2</v>
      </c>
      <c r="F42" s="14" t="s">
        <v>94</v>
      </c>
      <c r="G42" s="53" t="s">
        <v>80</v>
      </c>
      <c r="H42" s="53"/>
      <c r="I42" s="53"/>
      <c r="J42" s="53"/>
    </row>
    <row r="43" spans="1:10" x14ac:dyDescent="0.3">
      <c r="A43" s="55">
        <v>40</v>
      </c>
      <c r="B43" s="53" t="s">
        <v>58</v>
      </c>
      <c r="C43" s="53" t="s">
        <v>134</v>
      </c>
      <c r="D43" s="53" t="s">
        <v>39</v>
      </c>
      <c r="E43" s="55">
        <v>2</v>
      </c>
      <c r="F43" s="14" t="s">
        <v>94</v>
      </c>
      <c r="G43" s="53" t="s">
        <v>80</v>
      </c>
      <c r="H43" s="53"/>
      <c r="I43" s="53"/>
      <c r="J43" s="53"/>
    </row>
    <row r="44" spans="1:10" x14ac:dyDescent="0.3">
      <c r="A44" s="55">
        <v>41</v>
      </c>
      <c r="B44" s="53" t="s">
        <v>59</v>
      </c>
      <c r="C44" s="53" t="s">
        <v>135</v>
      </c>
      <c r="D44" s="53" t="s">
        <v>39</v>
      </c>
      <c r="E44" s="55">
        <v>2</v>
      </c>
      <c r="F44" s="14" t="s">
        <v>94</v>
      </c>
      <c r="G44" s="53" t="s">
        <v>80</v>
      </c>
      <c r="H44" s="53"/>
      <c r="I44" s="53"/>
      <c r="J44" s="53"/>
    </row>
    <row r="45" spans="1:10" x14ac:dyDescent="0.3">
      <c r="A45" s="55">
        <v>42</v>
      </c>
      <c r="B45" s="53" t="s">
        <v>60</v>
      </c>
      <c r="C45" s="53" t="s">
        <v>136</v>
      </c>
      <c r="D45" s="53" t="s">
        <v>39</v>
      </c>
      <c r="E45" s="55">
        <v>2</v>
      </c>
      <c r="F45" s="14" t="s">
        <v>94</v>
      </c>
      <c r="G45" s="53" t="s">
        <v>80</v>
      </c>
      <c r="H45" s="53"/>
      <c r="I45" s="53"/>
      <c r="J45" s="53"/>
    </row>
    <row r="46" spans="1:10" x14ac:dyDescent="0.3">
      <c r="A46" s="55">
        <v>43</v>
      </c>
      <c r="B46" s="53" t="s">
        <v>81</v>
      </c>
      <c r="C46" s="53" t="s">
        <v>147</v>
      </c>
      <c r="D46" s="53" t="s">
        <v>39</v>
      </c>
      <c r="E46" s="55">
        <v>10</v>
      </c>
      <c r="F46" s="14" t="s">
        <v>94</v>
      </c>
      <c r="G46" s="53" t="s">
        <v>80</v>
      </c>
      <c r="H46" s="53"/>
      <c r="I46" s="53"/>
      <c r="J46" s="53"/>
    </row>
    <row r="47" spans="1:10" x14ac:dyDescent="0.3">
      <c r="A47" s="55">
        <v>44</v>
      </c>
      <c r="B47" s="53" t="s">
        <v>61</v>
      </c>
      <c r="C47" s="53" t="s">
        <v>148</v>
      </c>
      <c r="D47" s="53" t="s">
        <v>39</v>
      </c>
      <c r="E47" s="55">
        <v>10</v>
      </c>
      <c r="F47" s="14" t="s">
        <v>94</v>
      </c>
      <c r="G47" s="53" t="s">
        <v>80</v>
      </c>
      <c r="H47" s="53"/>
      <c r="I47" s="53"/>
      <c r="J47" s="53"/>
    </row>
    <row r="48" spans="1:10" x14ac:dyDescent="0.3">
      <c r="A48" s="55">
        <v>45</v>
      </c>
      <c r="B48" s="53" t="s">
        <v>33</v>
      </c>
      <c r="C48" s="53" t="s">
        <v>149</v>
      </c>
      <c r="D48" s="53" t="s">
        <v>39</v>
      </c>
      <c r="E48" s="55">
        <v>16</v>
      </c>
      <c r="F48" s="14" t="s">
        <v>94</v>
      </c>
      <c r="G48" s="53" t="s">
        <v>80</v>
      </c>
      <c r="H48" s="53"/>
      <c r="I48" s="53"/>
      <c r="J48" s="53"/>
    </row>
    <row r="49" spans="1:10" x14ac:dyDescent="0.3">
      <c r="A49" s="55">
        <v>46</v>
      </c>
      <c r="B49" s="53" t="s">
        <v>34</v>
      </c>
      <c r="C49" s="53" t="s">
        <v>150</v>
      </c>
      <c r="D49" s="53" t="s">
        <v>39</v>
      </c>
      <c r="E49" s="55">
        <v>20</v>
      </c>
      <c r="F49" s="14" t="s">
        <v>94</v>
      </c>
      <c r="G49" s="53" t="s">
        <v>80</v>
      </c>
      <c r="H49" s="53"/>
      <c r="I49" s="53"/>
      <c r="J49" s="53"/>
    </row>
    <row r="50" spans="1:10" x14ac:dyDescent="0.3">
      <c r="A50" s="55">
        <v>47</v>
      </c>
      <c r="B50" s="56" t="s">
        <v>95</v>
      </c>
      <c r="C50" s="53" t="s">
        <v>137</v>
      </c>
      <c r="D50" s="57" t="s">
        <v>62</v>
      </c>
      <c r="E50" s="58">
        <v>6</v>
      </c>
      <c r="F50" s="14" t="s">
        <v>92</v>
      </c>
      <c r="G50" s="53" t="s">
        <v>80</v>
      </c>
      <c r="H50" s="53"/>
      <c r="I50" s="53"/>
      <c r="J50" s="53" t="s">
        <v>96</v>
      </c>
    </row>
    <row r="51" spans="1:10" x14ac:dyDescent="0.3">
      <c r="A51" s="55">
        <v>48</v>
      </c>
      <c r="B51" s="56" t="s">
        <v>63</v>
      </c>
      <c r="C51" s="53" t="s">
        <v>138</v>
      </c>
      <c r="D51" s="57" t="s">
        <v>62</v>
      </c>
      <c r="E51" s="58">
        <v>6</v>
      </c>
      <c r="F51" s="14" t="s">
        <v>92</v>
      </c>
      <c r="G51" s="53" t="s">
        <v>80</v>
      </c>
      <c r="H51" s="53"/>
      <c r="I51" s="53"/>
      <c r="J51" s="53"/>
    </row>
    <row r="52" spans="1:10" x14ac:dyDescent="0.3">
      <c r="A52" s="55">
        <v>49</v>
      </c>
      <c r="B52" s="53" t="s">
        <v>64</v>
      </c>
      <c r="C52" s="53" t="s">
        <v>139</v>
      </c>
      <c r="D52" s="57" t="s">
        <v>62</v>
      </c>
      <c r="E52" s="58">
        <v>6</v>
      </c>
      <c r="F52" s="14" t="s">
        <v>92</v>
      </c>
      <c r="G52" s="53" t="s">
        <v>80</v>
      </c>
      <c r="H52" s="53"/>
      <c r="I52" s="53"/>
      <c r="J52" s="53"/>
    </row>
    <row r="53" spans="1:10" x14ac:dyDescent="0.3">
      <c r="A53" s="55">
        <v>50</v>
      </c>
      <c r="B53" s="53" t="s">
        <v>65</v>
      </c>
      <c r="C53" s="53" t="s">
        <v>140</v>
      </c>
      <c r="D53" s="57" t="s">
        <v>62</v>
      </c>
      <c r="E53" s="58">
        <v>8</v>
      </c>
      <c r="F53" s="14" t="s">
        <v>92</v>
      </c>
      <c r="G53" s="53" t="s">
        <v>80</v>
      </c>
      <c r="H53" s="53"/>
      <c r="I53" s="53"/>
      <c r="J53" s="53"/>
    </row>
    <row r="54" spans="1:10" x14ac:dyDescent="0.3">
      <c r="A54" s="55">
        <v>51</v>
      </c>
      <c r="B54" s="53" t="s">
        <v>66</v>
      </c>
      <c r="C54" s="53" t="s">
        <v>141</v>
      </c>
      <c r="D54" s="57" t="s">
        <v>62</v>
      </c>
      <c r="E54" s="58">
        <v>8</v>
      </c>
      <c r="F54" s="14" t="s">
        <v>92</v>
      </c>
      <c r="G54" s="53" t="s">
        <v>80</v>
      </c>
      <c r="H54" s="53"/>
      <c r="I54" s="53"/>
      <c r="J54" s="53"/>
    </row>
    <row r="55" spans="1:10" x14ac:dyDescent="0.3">
      <c r="A55" s="55">
        <v>52</v>
      </c>
      <c r="B55" s="53" t="s">
        <v>68</v>
      </c>
      <c r="C55" s="53" t="s">
        <v>144</v>
      </c>
      <c r="D55" s="57" t="s">
        <v>67</v>
      </c>
      <c r="E55" s="58">
        <v>12</v>
      </c>
      <c r="F55" s="14" t="s">
        <v>94</v>
      </c>
      <c r="G55" s="53" t="s">
        <v>80</v>
      </c>
      <c r="H55" s="53"/>
      <c r="I55" s="53"/>
      <c r="J55" s="53"/>
    </row>
    <row r="56" spans="1:10" x14ac:dyDescent="0.3">
      <c r="A56" s="55">
        <v>53</v>
      </c>
      <c r="B56" s="53" t="s">
        <v>69</v>
      </c>
      <c r="C56" s="53" t="s">
        <v>145</v>
      </c>
      <c r="D56" s="57" t="s">
        <v>67</v>
      </c>
      <c r="E56" s="58">
        <v>6</v>
      </c>
      <c r="F56" s="14" t="s">
        <v>94</v>
      </c>
      <c r="G56" s="53" t="s">
        <v>80</v>
      </c>
      <c r="H56" s="53"/>
      <c r="I56" s="53"/>
      <c r="J56" s="53"/>
    </row>
    <row r="57" spans="1:10" x14ac:dyDescent="0.3">
      <c r="A57" s="55">
        <v>54</v>
      </c>
      <c r="B57" s="53" t="s">
        <v>70</v>
      </c>
      <c r="C57" s="53" t="s">
        <v>146</v>
      </c>
      <c r="D57" s="57" t="s">
        <v>67</v>
      </c>
      <c r="E57" s="58">
        <v>5</v>
      </c>
      <c r="F57" s="14" t="s">
        <v>94</v>
      </c>
      <c r="G57" s="53" t="s">
        <v>80</v>
      </c>
      <c r="H57" s="53"/>
      <c r="I57" s="53"/>
      <c r="J57" s="53"/>
    </row>
    <row r="58" spans="1:10" x14ac:dyDescent="0.3">
      <c r="A58" s="55">
        <v>55</v>
      </c>
      <c r="B58" s="53" t="s">
        <v>71</v>
      </c>
      <c r="C58" s="53" t="s">
        <v>142</v>
      </c>
      <c r="D58" s="57" t="s">
        <v>67</v>
      </c>
      <c r="E58" s="58">
        <v>2</v>
      </c>
      <c r="F58" s="14" t="s">
        <v>94</v>
      </c>
      <c r="G58" s="53" t="s">
        <v>80</v>
      </c>
      <c r="H58" s="53"/>
      <c r="I58" s="53"/>
      <c r="J58" s="53"/>
    </row>
    <row r="59" spans="1:10" x14ac:dyDescent="0.3">
      <c r="A59" s="55">
        <v>56</v>
      </c>
      <c r="B59" s="53" t="s">
        <v>72</v>
      </c>
      <c r="C59" s="53" t="s">
        <v>143</v>
      </c>
      <c r="D59" s="57" t="s">
        <v>67</v>
      </c>
      <c r="E59" s="58">
        <v>2</v>
      </c>
      <c r="F59" s="14" t="s">
        <v>94</v>
      </c>
      <c r="G59" s="53" t="s">
        <v>80</v>
      </c>
      <c r="H59" s="53"/>
      <c r="I59" s="53"/>
      <c r="J59" s="53"/>
    </row>
  </sheetData>
  <phoneticPr fontId="8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4CC6-C3BF-4D07-977E-0CF8012431F6}">
  <dimension ref="A1:L462"/>
  <sheetViews>
    <sheetView zoomScale="110" zoomScaleNormal="11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RowHeight="14.4" x14ac:dyDescent="0.3"/>
  <cols>
    <col min="1" max="1" width="5.77734375" customWidth="1"/>
    <col min="2" max="2" width="9.77734375" style="31" bestFit="1" customWidth="1"/>
    <col min="3" max="3" width="16.109375" style="23" bestFit="1" customWidth="1"/>
    <col min="4" max="4" width="20.44140625" style="42" bestFit="1" customWidth="1"/>
    <col min="5" max="5" width="7.44140625" style="18" customWidth="1"/>
    <col min="6" max="6" width="11.6640625" style="15" customWidth="1"/>
    <col min="7" max="7" width="11.5546875" bestFit="1" customWidth="1"/>
    <col min="8" max="8" width="14.21875" customWidth="1"/>
    <col min="9" max="9" width="12.5546875" customWidth="1"/>
    <col min="11" max="11" width="20.44140625" bestFit="1" customWidth="1"/>
    <col min="12" max="12" width="16.109375" bestFit="1" customWidth="1"/>
  </cols>
  <sheetData>
    <row r="1" spans="1:12" s="37" customFormat="1" ht="15.6" x14ac:dyDescent="0.3">
      <c r="A1" s="33" t="s">
        <v>1599</v>
      </c>
      <c r="B1" s="35"/>
      <c r="C1" s="73"/>
      <c r="D1" s="61"/>
      <c r="E1" s="36"/>
      <c r="F1" s="34"/>
      <c r="G1" s="17"/>
      <c r="H1" s="17"/>
      <c r="I1" s="33"/>
    </row>
    <row r="2" spans="1:12" s="37" customFormat="1" ht="15.6" x14ac:dyDescent="0.3">
      <c r="A2" s="33"/>
      <c r="B2" s="35"/>
      <c r="C2" s="73"/>
      <c r="D2" s="61"/>
      <c r="E2" s="36"/>
      <c r="F2" s="34"/>
      <c r="G2"/>
      <c r="H2"/>
      <c r="I2" s="33"/>
      <c r="K2" s="17" t="s">
        <v>681</v>
      </c>
    </row>
    <row r="3" spans="1:12" s="18" customFormat="1" ht="28.8" customHeight="1" x14ac:dyDescent="0.3">
      <c r="A3" s="41" t="s">
        <v>79</v>
      </c>
      <c r="B3" s="24" t="s">
        <v>0</v>
      </c>
      <c r="C3" s="4" t="s">
        <v>99</v>
      </c>
      <c r="D3" s="41" t="s">
        <v>630</v>
      </c>
      <c r="E3" s="60" t="s">
        <v>620</v>
      </c>
      <c r="F3" s="41" t="s">
        <v>97</v>
      </c>
      <c r="G3" s="50" t="s">
        <v>713</v>
      </c>
      <c r="H3" s="50" t="s">
        <v>1598</v>
      </c>
      <c r="I3" s="41" t="s">
        <v>3</v>
      </c>
      <c r="K3" s="49" t="s">
        <v>710</v>
      </c>
      <c r="L3" s="49" t="s">
        <v>97</v>
      </c>
    </row>
    <row r="4" spans="1:12" x14ac:dyDescent="0.3">
      <c r="A4" s="55">
        <v>1</v>
      </c>
      <c r="B4" s="25" t="s">
        <v>160</v>
      </c>
      <c r="C4" s="5" t="s">
        <v>82</v>
      </c>
      <c r="D4" s="62" t="s">
        <v>687</v>
      </c>
      <c r="E4" s="58">
        <v>1</v>
      </c>
      <c r="F4" s="55" t="s">
        <v>624</v>
      </c>
      <c r="G4" s="53"/>
      <c r="H4" s="53"/>
      <c r="I4" s="53"/>
      <c r="K4" t="s">
        <v>687</v>
      </c>
      <c r="L4" t="s">
        <v>624</v>
      </c>
    </row>
    <row r="5" spans="1:12" x14ac:dyDescent="0.3">
      <c r="A5" s="55">
        <v>2</v>
      </c>
      <c r="B5" s="25" t="s">
        <v>161</v>
      </c>
      <c r="C5" s="5" t="s">
        <v>82</v>
      </c>
      <c r="D5" s="62" t="s">
        <v>687</v>
      </c>
      <c r="E5" s="58">
        <v>1</v>
      </c>
      <c r="F5" s="55" t="s">
        <v>624</v>
      </c>
      <c r="G5" s="53"/>
      <c r="H5" s="53"/>
      <c r="I5" s="53"/>
      <c r="K5" t="s">
        <v>688</v>
      </c>
      <c r="L5" t="s">
        <v>636</v>
      </c>
    </row>
    <row r="6" spans="1:12" x14ac:dyDescent="0.3">
      <c r="A6" s="55">
        <v>3</v>
      </c>
      <c r="B6" s="25" t="s">
        <v>162</v>
      </c>
      <c r="C6" s="5" t="s">
        <v>83</v>
      </c>
      <c r="D6" s="62" t="s">
        <v>711</v>
      </c>
      <c r="E6" s="58">
        <v>1</v>
      </c>
      <c r="F6" s="55" t="s">
        <v>624</v>
      </c>
      <c r="G6" s="53"/>
      <c r="H6" s="53"/>
      <c r="I6" s="53"/>
      <c r="K6" t="s">
        <v>711</v>
      </c>
      <c r="L6" t="s">
        <v>682</v>
      </c>
    </row>
    <row r="7" spans="1:12" x14ac:dyDescent="0.3">
      <c r="A7" s="55">
        <v>4</v>
      </c>
      <c r="B7" s="25" t="s">
        <v>163</v>
      </c>
      <c r="C7" s="5" t="s">
        <v>83</v>
      </c>
      <c r="D7" s="62" t="s">
        <v>711</v>
      </c>
      <c r="E7" s="58">
        <v>1</v>
      </c>
      <c r="F7" s="55" t="s">
        <v>624</v>
      </c>
      <c r="G7" s="53"/>
      <c r="H7" s="53"/>
      <c r="I7" s="53"/>
    </row>
    <row r="8" spans="1:12" x14ac:dyDescent="0.3">
      <c r="A8" s="55">
        <v>5</v>
      </c>
      <c r="B8" s="25" t="s">
        <v>164</v>
      </c>
      <c r="C8" s="5" t="s">
        <v>84</v>
      </c>
      <c r="D8" s="62" t="s">
        <v>687</v>
      </c>
      <c r="E8" s="58">
        <v>1</v>
      </c>
      <c r="F8" s="55" t="s">
        <v>624</v>
      </c>
      <c r="G8" s="53"/>
      <c r="H8" s="53"/>
      <c r="I8" s="53"/>
    </row>
    <row r="9" spans="1:12" x14ac:dyDescent="0.3">
      <c r="A9" s="55">
        <v>6</v>
      </c>
      <c r="B9" s="25" t="s">
        <v>165</v>
      </c>
      <c r="C9" s="5" t="s">
        <v>84</v>
      </c>
      <c r="D9" s="62" t="s">
        <v>687</v>
      </c>
      <c r="E9" s="58">
        <v>1</v>
      </c>
      <c r="F9" s="55" t="s">
        <v>624</v>
      </c>
      <c r="G9" s="53"/>
      <c r="H9" s="53"/>
      <c r="I9" s="53"/>
    </row>
    <row r="10" spans="1:12" x14ac:dyDescent="0.3">
      <c r="A10" s="55">
        <v>7</v>
      </c>
      <c r="B10" s="25" t="s">
        <v>166</v>
      </c>
      <c r="C10" s="5" t="s">
        <v>85</v>
      </c>
      <c r="D10" s="62" t="s">
        <v>688</v>
      </c>
      <c r="E10" s="58">
        <v>1</v>
      </c>
      <c r="F10" s="55" t="s">
        <v>624</v>
      </c>
      <c r="G10" s="53"/>
      <c r="H10" s="53"/>
      <c r="I10" s="53"/>
    </row>
    <row r="11" spans="1:12" x14ac:dyDescent="0.3">
      <c r="A11" s="55">
        <v>8</v>
      </c>
      <c r="B11" s="25" t="s">
        <v>167</v>
      </c>
      <c r="C11" s="5" t="s">
        <v>85</v>
      </c>
      <c r="D11" s="62" t="s">
        <v>688</v>
      </c>
      <c r="E11" s="58">
        <v>1</v>
      </c>
      <c r="F11" s="55" t="s">
        <v>624</v>
      </c>
      <c r="G11" s="53"/>
      <c r="H11" s="53"/>
      <c r="I11" s="53"/>
    </row>
    <row r="12" spans="1:12" x14ac:dyDescent="0.3">
      <c r="A12" s="55">
        <v>9</v>
      </c>
      <c r="B12" s="25" t="s">
        <v>168</v>
      </c>
      <c r="C12" s="5" t="s">
        <v>86</v>
      </c>
      <c r="D12" s="62" t="s">
        <v>687</v>
      </c>
      <c r="E12" s="58">
        <v>1</v>
      </c>
      <c r="F12" s="55" t="s">
        <v>624</v>
      </c>
      <c r="G12" s="53"/>
      <c r="H12" s="53"/>
      <c r="I12" s="53"/>
    </row>
    <row r="13" spans="1:12" x14ac:dyDescent="0.3">
      <c r="A13" s="55">
        <v>10</v>
      </c>
      <c r="B13" s="25" t="s">
        <v>169</v>
      </c>
      <c r="C13" s="5" t="s">
        <v>86</v>
      </c>
      <c r="D13" s="62" t="s">
        <v>687</v>
      </c>
      <c r="E13" s="58">
        <v>1</v>
      </c>
      <c r="F13" s="55" t="s">
        <v>624</v>
      </c>
      <c r="G13" s="53"/>
      <c r="H13" s="53"/>
      <c r="I13" s="53"/>
    </row>
    <row r="14" spans="1:12" x14ac:dyDescent="0.3">
      <c r="A14" s="55">
        <v>11</v>
      </c>
      <c r="B14" s="25" t="s">
        <v>170</v>
      </c>
      <c r="C14" s="5" t="s">
        <v>87</v>
      </c>
      <c r="D14" s="62" t="s">
        <v>711</v>
      </c>
      <c r="E14" s="58">
        <v>1</v>
      </c>
      <c r="F14" s="55" t="s">
        <v>624</v>
      </c>
      <c r="G14" s="53"/>
      <c r="H14" s="53"/>
      <c r="I14" s="53"/>
    </row>
    <row r="15" spans="1:12" x14ac:dyDescent="0.3">
      <c r="A15" s="55">
        <v>12</v>
      </c>
      <c r="B15" s="25" t="s">
        <v>171</v>
      </c>
      <c r="C15" s="5" t="s">
        <v>87</v>
      </c>
      <c r="D15" s="62" t="s">
        <v>688</v>
      </c>
      <c r="E15" s="58">
        <v>1</v>
      </c>
      <c r="F15" s="55" t="s">
        <v>624</v>
      </c>
      <c r="G15" s="53"/>
      <c r="H15" s="53"/>
      <c r="I15" s="53"/>
    </row>
    <row r="16" spans="1:12" x14ac:dyDescent="0.3">
      <c r="A16" s="55">
        <v>13</v>
      </c>
      <c r="B16" s="25" t="s">
        <v>172</v>
      </c>
      <c r="C16" s="5" t="s">
        <v>88</v>
      </c>
      <c r="D16" s="62" t="s">
        <v>687</v>
      </c>
      <c r="E16" s="58">
        <v>1</v>
      </c>
      <c r="F16" s="55" t="s">
        <v>624</v>
      </c>
      <c r="G16" s="53"/>
      <c r="H16" s="53"/>
      <c r="I16" s="53"/>
    </row>
    <row r="17" spans="1:9" x14ac:dyDescent="0.3">
      <c r="A17" s="55">
        <v>14</v>
      </c>
      <c r="B17" s="25" t="s">
        <v>173</v>
      </c>
      <c r="C17" s="5" t="s">
        <v>88</v>
      </c>
      <c r="D17" s="62" t="s">
        <v>687</v>
      </c>
      <c r="E17" s="58">
        <v>1</v>
      </c>
      <c r="F17" s="55" t="s">
        <v>624</v>
      </c>
      <c r="G17" s="53"/>
      <c r="H17" s="53"/>
      <c r="I17" s="53"/>
    </row>
    <row r="18" spans="1:9" x14ac:dyDescent="0.3">
      <c r="A18" s="55">
        <v>15</v>
      </c>
      <c r="B18" s="25" t="s">
        <v>174</v>
      </c>
      <c r="C18" s="5" t="s">
        <v>89</v>
      </c>
      <c r="D18" s="62" t="s">
        <v>687</v>
      </c>
      <c r="E18" s="58">
        <v>1</v>
      </c>
      <c r="F18" s="55" t="s">
        <v>624</v>
      </c>
      <c r="G18" s="53"/>
      <c r="H18" s="53"/>
      <c r="I18" s="53"/>
    </row>
    <row r="19" spans="1:9" x14ac:dyDescent="0.3">
      <c r="A19" s="55">
        <v>16</v>
      </c>
      <c r="B19" s="25" t="s">
        <v>175</v>
      </c>
      <c r="C19" s="5" t="s">
        <v>89</v>
      </c>
      <c r="D19" s="62" t="s">
        <v>687</v>
      </c>
      <c r="E19" s="58">
        <v>1</v>
      </c>
      <c r="F19" s="55" t="s">
        <v>624</v>
      </c>
      <c r="G19" s="53"/>
      <c r="H19" s="53"/>
      <c r="I19" s="53"/>
    </row>
    <row r="20" spans="1:9" x14ac:dyDescent="0.3">
      <c r="A20" s="55">
        <v>17</v>
      </c>
      <c r="B20" s="25" t="s">
        <v>176</v>
      </c>
      <c r="C20" s="5" t="s">
        <v>90</v>
      </c>
      <c r="D20" s="62" t="s">
        <v>687</v>
      </c>
      <c r="E20" s="58">
        <v>1</v>
      </c>
      <c r="F20" s="55" t="s">
        <v>624</v>
      </c>
      <c r="G20" s="53"/>
      <c r="H20" s="53"/>
      <c r="I20" s="53"/>
    </row>
    <row r="21" spans="1:9" x14ac:dyDescent="0.3">
      <c r="A21" s="55">
        <v>18</v>
      </c>
      <c r="B21" s="25" t="s">
        <v>177</v>
      </c>
      <c r="C21" s="5" t="s">
        <v>90</v>
      </c>
      <c r="D21" s="62" t="s">
        <v>687</v>
      </c>
      <c r="E21" s="58">
        <v>1</v>
      </c>
      <c r="F21" s="55" t="s">
        <v>624</v>
      </c>
      <c r="G21" s="53"/>
      <c r="H21" s="53"/>
      <c r="I21" s="53"/>
    </row>
    <row r="22" spans="1:9" x14ac:dyDescent="0.3">
      <c r="A22" s="55">
        <v>19</v>
      </c>
      <c r="B22" s="25" t="s">
        <v>178</v>
      </c>
      <c r="C22" s="5" t="s">
        <v>91</v>
      </c>
      <c r="D22" s="62" t="s">
        <v>687</v>
      </c>
      <c r="E22" s="58">
        <v>1</v>
      </c>
      <c r="F22" s="55" t="s">
        <v>624</v>
      </c>
      <c r="G22" s="53"/>
      <c r="H22" s="53"/>
      <c r="I22" s="53"/>
    </row>
    <row r="23" spans="1:9" x14ac:dyDescent="0.3">
      <c r="A23" s="55">
        <v>20</v>
      </c>
      <c r="B23" s="25" t="s">
        <v>179</v>
      </c>
      <c r="C23" s="5" t="s">
        <v>91</v>
      </c>
      <c r="D23" s="62" t="s">
        <v>687</v>
      </c>
      <c r="E23" s="58">
        <v>1</v>
      </c>
      <c r="F23" s="55" t="s">
        <v>624</v>
      </c>
      <c r="G23" s="53"/>
      <c r="H23" s="53"/>
      <c r="I23" s="53"/>
    </row>
    <row r="24" spans="1:9" x14ac:dyDescent="0.3">
      <c r="A24" s="55">
        <v>21</v>
      </c>
      <c r="B24" s="25" t="s">
        <v>180</v>
      </c>
      <c r="C24" s="5" t="s">
        <v>74</v>
      </c>
      <c r="D24" s="62"/>
      <c r="E24" s="58">
        <v>1</v>
      </c>
      <c r="F24" s="55" t="s">
        <v>624</v>
      </c>
      <c r="G24" s="53"/>
      <c r="H24" s="53"/>
      <c r="I24" s="53"/>
    </row>
    <row r="25" spans="1:9" x14ac:dyDescent="0.3">
      <c r="A25" s="55">
        <v>22</v>
      </c>
      <c r="B25" s="25" t="s">
        <v>181</v>
      </c>
      <c r="C25" s="5" t="s">
        <v>74</v>
      </c>
      <c r="D25" s="62"/>
      <c r="E25" s="58">
        <v>1</v>
      </c>
      <c r="F25" s="55" t="s">
        <v>624</v>
      </c>
      <c r="G25" s="53"/>
      <c r="H25" s="53"/>
      <c r="I25" s="53"/>
    </row>
    <row r="26" spans="1:9" x14ac:dyDescent="0.3">
      <c r="A26" s="55">
        <v>23</v>
      </c>
      <c r="B26" s="25" t="s">
        <v>182</v>
      </c>
      <c r="C26" s="5" t="s">
        <v>74</v>
      </c>
      <c r="D26" s="62"/>
      <c r="E26" s="58">
        <v>1</v>
      </c>
      <c r="F26" s="55" t="s">
        <v>624</v>
      </c>
      <c r="G26" s="53"/>
      <c r="H26" s="53"/>
      <c r="I26" s="53"/>
    </row>
    <row r="27" spans="1:9" x14ac:dyDescent="0.3">
      <c r="A27" s="55">
        <v>24</v>
      </c>
      <c r="B27" s="25" t="s">
        <v>183</v>
      </c>
      <c r="C27" s="5" t="s">
        <v>74</v>
      </c>
      <c r="D27" s="62"/>
      <c r="E27" s="58">
        <v>1</v>
      </c>
      <c r="F27" s="55" t="s">
        <v>624</v>
      </c>
      <c r="G27" s="53"/>
      <c r="H27" s="53"/>
      <c r="I27" s="53"/>
    </row>
    <row r="28" spans="1:9" x14ac:dyDescent="0.3">
      <c r="A28" s="55">
        <v>25</v>
      </c>
      <c r="B28" s="25" t="s">
        <v>184</v>
      </c>
      <c r="C28" s="5" t="s">
        <v>74</v>
      </c>
      <c r="D28" s="62"/>
      <c r="E28" s="58">
        <v>1</v>
      </c>
      <c r="F28" s="55" t="s">
        <v>624</v>
      </c>
      <c r="G28" s="53"/>
      <c r="H28" s="53"/>
      <c r="I28" s="53"/>
    </row>
    <row r="29" spans="1:9" x14ac:dyDescent="0.3">
      <c r="A29" s="55">
        <v>26</v>
      </c>
      <c r="B29" s="25" t="s">
        <v>185</v>
      </c>
      <c r="C29" s="5" t="s">
        <v>74</v>
      </c>
      <c r="D29" s="62"/>
      <c r="E29" s="58">
        <v>2</v>
      </c>
      <c r="F29" s="55" t="s">
        <v>624</v>
      </c>
      <c r="G29" s="53"/>
      <c r="H29" s="53"/>
      <c r="I29" s="53"/>
    </row>
    <row r="30" spans="1:9" x14ac:dyDescent="0.3">
      <c r="A30" s="55">
        <v>27</v>
      </c>
      <c r="B30" s="25" t="s">
        <v>186</v>
      </c>
      <c r="C30" s="5" t="s">
        <v>74</v>
      </c>
      <c r="D30" s="62"/>
      <c r="E30" s="58">
        <v>1</v>
      </c>
      <c r="F30" s="55" t="s">
        <v>624</v>
      </c>
      <c r="G30" s="53"/>
      <c r="H30" s="53"/>
      <c r="I30" s="53"/>
    </row>
    <row r="31" spans="1:9" x14ac:dyDescent="0.3">
      <c r="A31" s="55">
        <v>28</v>
      </c>
      <c r="B31" s="25" t="s">
        <v>187</v>
      </c>
      <c r="C31" s="5" t="s">
        <v>74</v>
      </c>
      <c r="D31" s="62"/>
      <c r="E31" s="58">
        <v>1</v>
      </c>
      <c r="F31" s="55" t="s">
        <v>624</v>
      </c>
      <c r="G31" s="53"/>
      <c r="H31" s="53"/>
      <c r="I31" s="53"/>
    </row>
    <row r="32" spans="1:9" x14ac:dyDescent="0.3">
      <c r="A32" s="55">
        <v>29</v>
      </c>
      <c r="B32" s="25" t="s">
        <v>188</v>
      </c>
      <c r="C32" s="5" t="s">
        <v>74</v>
      </c>
      <c r="D32" s="62"/>
      <c r="E32" s="58">
        <v>1</v>
      </c>
      <c r="F32" s="55" t="s">
        <v>624</v>
      </c>
      <c r="G32" s="53"/>
      <c r="H32" s="53"/>
      <c r="I32" s="53"/>
    </row>
    <row r="33" spans="1:9" x14ac:dyDescent="0.3">
      <c r="A33" s="55">
        <v>30</v>
      </c>
      <c r="B33" s="25" t="s">
        <v>189</v>
      </c>
      <c r="C33" s="5" t="s">
        <v>74</v>
      </c>
      <c r="D33" s="62"/>
      <c r="E33" s="58">
        <v>1</v>
      </c>
      <c r="F33" s="55" t="s">
        <v>624</v>
      </c>
      <c r="G33" s="53"/>
      <c r="H33" s="53"/>
      <c r="I33" s="53"/>
    </row>
    <row r="34" spans="1:9" x14ac:dyDescent="0.3">
      <c r="A34" s="55">
        <v>31</v>
      </c>
      <c r="B34" s="25" t="s">
        <v>190</v>
      </c>
      <c r="C34" s="5" t="s">
        <v>74</v>
      </c>
      <c r="D34" s="62"/>
      <c r="E34" s="58">
        <v>1</v>
      </c>
      <c r="F34" s="55" t="s">
        <v>624</v>
      </c>
      <c r="G34" s="53"/>
      <c r="H34" s="53"/>
      <c r="I34" s="53"/>
    </row>
    <row r="35" spans="1:9" x14ac:dyDescent="0.3">
      <c r="A35" s="55">
        <v>32</v>
      </c>
      <c r="B35" s="25" t="s">
        <v>191</v>
      </c>
      <c r="C35" s="5" t="s">
        <v>74</v>
      </c>
      <c r="D35" s="62"/>
      <c r="E35" s="58">
        <v>1</v>
      </c>
      <c r="F35" s="55" t="s">
        <v>624</v>
      </c>
      <c r="G35" s="53"/>
      <c r="H35" s="53"/>
      <c r="I35" s="53"/>
    </row>
    <row r="36" spans="1:9" x14ac:dyDescent="0.3">
      <c r="A36" s="55">
        <v>33</v>
      </c>
      <c r="B36" s="25" t="s">
        <v>192</v>
      </c>
      <c r="C36" s="5" t="s">
        <v>74</v>
      </c>
      <c r="D36" s="62"/>
      <c r="E36" s="58">
        <v>1</v>
      </c>
      <c r="F36" s="55" t="s">
        <v>624</v>
      </c>
      <c r="G36" s="53"/>
      <c r="H36" s="53"/>
      <c r="I36" s="53"/>
    </row>
    <row r="37" spans="1:9" x14ac:dyDescent="0.3">
      <c r="A37" s="55">
        <v>34</v>
      </c>
      <c r="B37" s="25" t="s">
        <v>193</v>
      </c>
      <c r="C37" s="5" t="s">
        <v>74</v>
      </c>
      <c r="D37" s="62"/>
      <c r="E37" s="58">
        <v>1</v>
      </c>
      <c r="F37" s="55" t="s">
        <v>624</v>
      </c>
      <c r="G37" s="53"/>
      <c r="H37" s="53"/>
      <c r="I37" s="53"/>
    </row>
    <row r="38" spans="1:9" x14ac:dyDescent="0.3">
      <c r="A38" s="55">
        <v>35</v>
      </c>
      <c r="B38" s="25" t="s">
        <v>194</v>
      </c>
      <c r="C38" s="5" t="s">
        <v>74</v>
      </c>
      <c r="D38" s="62"/>
      <c r="E38" s="58">
        <v>1</v>
      </c>
      <c r="F38" s="55" t="s">
        <v>624</v>
      </c>
      <c r="G38" s="53"/>
      <c r="H38" s="53"/>
      <c r="I38" s="53"/>
    </row>
    <row r="39" spans="1:9" x14ac:dyDescent="0.3">
      <c r="A39" s="55">
        <v>36</v>
      </c>
      <c r="B39" s="25" t="s">
        <v>195</v>
      </c>
      <c r="C39" s="5" t="s">
        <v>74</v>
      </c>
      <c r="D39" s="62"/>
      <c r="E39" s="58">
        <v>1</v>
      </c>
      <c r="F39" s="55" t="s">
        <v>624</v>
      </c>
      <c r="G39" s="53"/>
      <c r="H39" s="53"/>
      <c r="I39" s="53"/>
    </row>
    <row r="40" spans="1:9" x14ac:dyDescent="0.3">
      <c r="A40" s="55">
        <v>37</v>
      </c>
      <c r="B40" s="25" t="s">
        <v>196</v>
      </c>
      <c r="C40" s="5" t="s">
        <v>74</v>
      </c>
      <c r="D40" s="62"/>
      <c r="E40" s="58">
        <v>1</v>
      </c>
      <c r="F40" s="55" t="s">
        <v>624</v>
      </c>
      <c r="G40" s="53"/>
      <c r="H40" s="53"/>
      <c r="I40" s="53"/>
    </row>
    <row r="41" spans="1:9" x14ac:dyDescent="0.3">
      <c r="A41" s="55">
        <v>38</v>
      </c>
      <c r="B41" s="25" t="s">
        <v>197</v>
      </c>
      <c r="C41" s="5" t="s">
        <v>74</v>
      </c>
      <c r="D41" s="62"/>
      <c r="E41" s="58">
        <v>1</v>
      </c>
      <c r="F41" s="55" t="s">
        <v>624</v>
      </c>
      <c r="G41" s="53"/>
      <c r="H41" s="53"/>
      <c r="I41" s="53"/>
    </row>
    <row r="42" spans="1:9" x14ac:dyDescent="0.3">
      <c r="A42" s="55">
        <v>39</v>
      </c>
      <c r="B42" s="25" t="s">
        <v>198</v>
      </c>
      <c r="C42" s="5" t="s">
        <v>74</v>
      </c>
      <c r="D42" s="62"/>
      <c r="E42" s="58">
        <v>1</v>
      </c>
      <c r="F42" s="55" t="s">
        <v>624</v>
      </c>
      <c r="G42" s="53"/>
      <c r="H42" s="53"/>
      <c r="I42" s="53"/>
    </row>
    <row r="43" spans="1:9" x14ac:dyDescent="0.3">
      <c r="A43" s="55">
        <v>40</v>
      </c>
      <c r="B43" s="25" t="s">
        <v>199</v>
      </c>
      <c r="C43" s="5" t="s">
        <v>74</v>
      </c>
      <c r="D43" s="62"/>
      <c r="E43" s="58">
        <v>1</v>
      </c>
      <c r="F43" s="55" t="s">
        <v>624</v>
      </c>
      <c r="G43" s="53"/>
      <c r="H43" s="53"/>
      <c r="I43" s="53"/>
    </row>
    <row r="44" spans="1:9" x14ac:dyDescent="0.3">
      <c r="A44" s="55">
        <v>41</v>
      </c>
      <c r="B44" s="25" t="s">
        <v>200</v>
      </c>
      <c r="C44" s="5" t="s">
        <v>74</v>
      </c>
      <c r="D44" s="62"/>
      <c r="E44" s="58">
        <v>1</v>
      </c>
      <c r="F44" s="55" t="s">
        <v>624</v>
      </c>
      <c r="G44" s="53"/>
      <c r="H44" s="53"/>
      <c r="I44" s="53"/>
    </row>
    <row r="45" spans="1:9" x14ac:dyDescent="0.3">
      <c r="A45" s="55">
        <v>42</v>
      </c>
      <c r="B45" s="25" t="s">
        <v>201</v>
      </c>
      <c r="C45" s="5" t="s">
        <v>74</v>
      </c>
      <c r="D45" s="62"/>
      <c r="E45" s="58">
        <v>1</v>
      </c>
      <c r="F45" s="55" t="s">
        <v>624</v>
      </c>
      <c r="G45" s="53"/>
      <c r="H45" s="53"/>
      <c r="I45" s="53"/>
    </row>
    <row r="46" spans="1:9" x14ac:dyDescent="0.3">
      <c r="A46" s="55">
        <v>43</v>
      </c>
      <c r="B46" s="25" t="s">
        <v>202</v>
      </c>
      <c r="C46" s="5" t="s">
        <v>74</v>
      </c>
      <c r="D46" s="62"/>
      <c r="E46" s="58">
        <v>1</v>
      </c>
      <c r="F46" s="55" t="s">
        <v>624</v>
      </c>
      <c r="G46" s="53"/>
      <c r="H46" s="53"/>
      <c r="I46" s="53"/>
    </row>
    <row r="47" spans="1:9" x14ac:dyDescent="0.3">
      <c r="A47" s="55">
        <v>44</v>
      </c>
      <c r="B47" s="25" t="s">
        <v>203</v>
      </c>
      <c r="C47" s="5" t="s">
        <v>74</v>
      </c>
      <c r="D47" s="62"/>
      <c r="E47" s="58">
        <v>1</v>
      </c>
      <c r="F47" s="55" t="s">
        <v>624</v>
      </c>
      <c r="G47" s="53"/>
      <c r="H47" s="53"/>
      <c r="I47" s="53"/>
    </row>
    <row r="48" spans="1:9" x14ac:dyDescent="0.3">
      <c r="A48" s="55">
        <v>45</v>
      </c>
      <c r="B48" s="25" t="s">
        <v>204</v>
      </c>
      <c r="C48" s="5" t="s">
        <v>74</v>
      </c>
      <c r="D48" s="62"/>
      <c r="E48" s="58">
        <v>1</v>
      </c>
      <c r="F48" s="55" t="s">
        <v>624</v>
      </c>
      <c r="G48" s="53"/>
      <c r="H48" s="53"/>
      <c r="I48" s="53"/>
    </row>
    <row r="49" spans="1:9" x14ac:dyDescent="0.3">
      <c r="A49" s="55">
        <v>46</v>
      </c>
      <c r="B49" s="25" t="s">
        <v>205</v>
      </c>
      <c r="C49" s="5" t="s">
        <v>74</v>
      </c>
      <c r="D49" s="62"/>
      <c r="E49" s="58">
        <v>1</v>
      </c>
      <c r="F49" s="55" t="s">
        <v>624</v>
      </c>
      <c r="G49" s="53"/>
      <c r="H49" s="53"/>
      <c r="I49" s="53"/>
    </row>
    <row r="50" spans="1:9" x14ac:dyDescent="0.3">
      <c r="A50" s="55">
        <v>47</v>
      </c>
      <c r="B50" s="25" t="s">
        <v>206</v>
      </c>
      <c r="C50" s="5" t="s">
        <v>74</v>
      </c>
      <c r="D50" s="62"/>
      <c r="E50" s="58">
        <v>1</v>
      </c>
      <c r="F50" s="55" t="s">
        <v>624</v>
      </c>
      <c r="G50" s="53"/>
      <c r="H50" s="53"/>
      <c r="I50" s="53"/>
    </row>
    <row r="51" spans="1:9" x14ac:dyDescent="0.3">
      <c r="A51" s="55">
        <v>48</v>
      </c>
      <c r="B51" s="25" t="s">
        <v>207</v>
      </c>
      <c r="C51" s="5" t="s">
        <v>74</v>
      </c>
      <c r="D51" s="62"/>
      <c r="E51" s="58">
        <v>1</v>
      </c>
      <c r="F51" s="55" t="s">
        <v>624</v>
      </c>
      <c r="G51" s="53"/>
      <c r="H51" s="53"/>
      <c r="I51" s="53"/>
    </row>
    <row r="52" spans="1:9" x14ac:dyDescent="0.3">
      <c r="A52" s="55">
        <v>49</v>
      </c>
      <c r="B52" s="25" t="s">
        <v>208</v>
      </c>
      <c r="C52" s="5" t="s">
        <v>74</v>
      </c>
      <c r="D52" s="62"/>
      <c r="E52" s="58">
        <v>1</v>
      </c>
      <c r="F52" s="55" t="s">
        <v>624</v>
      </c>
      <c r="G52" s="53"/>
      <c r="H52" s="53"/>
      <c r="I52" s="53"/>
    </row>
    <row r="53" spans="1:9" x14ac:dyDescent="0.3">
      <c r="A53" s="55">
        <v>50</v>
      </c>
      <c r="B53" s="25" t="s">
        <v>209</v>
      </c>
      <c r="C53" s="5" t="s">
        <v>74</v>
      </c>
      <c r="D53" s="62"/>
      <c r="E53" s="58">
        <v>1</v>
      </c>
      <c r="F53" s="55" t="s">
        <v>624</v>
      </c>
      <c r="G53" s="53"/>
      <c r="H53" s="53"/>
      <c r="I53" s="53"/>
    </row>
    <row r="54" spans="1:9" x14ac:dyDescent="0.3">
      <c r="A54" s="55">
        <v>51</v>
      </c>
      <c r="B54" s="25" t="s">
        <v>210</v>
      </c>
      <c r="C54" s="5" t="s">
        <v>74</v>
      </c>
      <c r="D54" s="62"/>
      <c r="E54" s="58">
        <v>1</v>
      </c>
      <c r="F54" s="55" t="s">
        <v>624</v>
      </c>
      <c r="G54" s="53"/>
      <c r="H54" s="53"/>
      <c r="I54" s="53"/>
    </row>
    <row r="55" spans="1:9" x14ac:dyDescent="0.3">
      <c r="A55" s="55">
        <v>52</v>
      </c>
      <c r="B55" s="25" t="s">
        <v>211</v>
      </c>
      <c r="C55" s="5" t="s">
        <v>74</v>
      </c>
      <c r="D55" s="62"/>
      <c r="E55" s="58">
        <v>1</v>
      </c>
      <c r="F55" s="55" t="s">
        <v>624</v>
      </c>
      <c r="G55" s="53"/>
      <c r="H55" s="53"/>
      <c r="I55" s="53"/>
    </row>
    <row r="56" spans="1:9" x14ac:dyDescent="0.3">
      <c r="A56" s="55">
        <v>53</v>
      </c>
      <c r="B56" s="25" t="s">
        <v>212</v>
      </c>
      <c r="C56" s="5" t="s">
        <v>74</v>
      </c>
      <c r="D56" s="62"/>
      <c r="E56" s="58">
        <v>1</v>
      </c>
      <c r="F56" s="55" t="s">
        <v>624</v>
      </c>
      <c r="G56" s="53"/>
      <c r="H56" s="53"/>
      <c r="I56" s="53"/>
    </row>
    <row r="57" spans="1:9" x14ac:dyDescent="0.3">
      <c r="A57" s="55">
        <v>54</v>
      </c>
      <c r="B57" s="25" t="s">
        <v>213</v>
      </c>
      <c r="C57" s="5" t="s">
        <v>74</v>
      </c>
      <c r="D57" s="62"/>
      <c r="E57" s="58">
        <v>1</v>
      </c>
      <c r="F57" s="55" t="s">
        <v>624</v>
      </c>
      <c r="G57" s="53"/>
      <c r="H57" s="53"/>
      <c r="I57" s="53"/>
    </row>
    <row r="58" spans="1:9" x14ac:dyDescent="0.3">
      <c r="A58" s="55">
        <v>55</v>
      </c>
      <c r="B58" s="25" t="s">
        <v>214</v>
      </c>
      <c r="C58" s="5" t="s">
        <v>74</v>
      </c>
      <c r="D58" s="62"/>
      <c r="E58" s="58">
        <v>1</v>
      </c>
      <c r="F58" s="55" t="s">
        <v>624</v>
      </c>
      <c r="G58" s="53"/>
      <c r="H58" s="53"/>
      <c r="I58" s="53"/>
    </row>
    <row r="59" spans="1:9" x14ac:dyDescent="0.3">
      <c r="A59" s="55">
        <v>56</v>
      </c>
      <c r="B59" s="25" t="s">
        <v>215</v>
      </c>
      <c r="C59" s="5" t="s">
        <v>74</v>
      </c>
      <c r="D59" s="62"/>
      <c r="E59" s="58">
        <v>1</v>
      </c>
      <c r="F59" s="55" t="s">
        <v>624</v>
      </c>
      <c r="G59" s="53"/>
      <c r="H59" s="53"/>
      <c r="I59" s="53"/>
    </row>
    <row r="60" spans="1:9" x14ac:dyDescent="0.3">
      <c r="A60" s="55">
        <v>57</v>
      </c>
      <c r="B60" s="25" t="s">
        <v>216</v>
      </c>
      <c r="C60" s="5" t="s">
        <v>74</v>
      </c>
      <c r="D60" s="62"/>
      <c r="E60" s="58">
        <v>1</v>
      </c>
      <c r="F60" s="55" t="s">
        <v>624</v>
      </c>
      <c r="G60" s="53"/>
      <c r="H60" s="53"/>
      <c r="I60" s="53"/>
    </row>
    <row r="61" spans="1:9" x14ac:dyDescent="0.3">
      <c r="A61" s="55">
        <v>58</v>
      </c>
      <c r="B61" s="25" t="s">
        <v>217</v>
      </c>
      <c r="C61" s="5" t="s">
        <v>74</v>
      </c>
      <c r="D61" s="62"/>
      <c r="E61" s="58">
        <v>1</v>
      </c>
      <c r="F61" s="55" t="s">
        <v>624</v>
      </c>
      <c r="G61" s="53"/>
      <c r="H61" s="53"/>
      <c r="I61" s="53"/>
    </row>
    <row r="62" spans="1:9" x14ac:dyDescent="0.3">
      <c r="A62" s="55">
        <v>59</v>
      </c>
      <c r="B62" s="25" t="s">
        <v>218</v>
      </c>
      <c r="C62" s="5" t="s">
        <v>74</v>
      </c>
      <c r="D62" s="62"/>
      <c r="E62" s="58">
        <v>1</v>
      </c>
      <c r="F62" s="55" t="s">
        <v>624</v>
      </c>
      <c r="G62" s="53"/>
      <c r="H62" s="53"/>
      <c r="I62" s="53"/>
    </row>
    <row r="63" spans="1:9" x14ac:dyDescent="0.3">
      <c r="A63" s="55">
        <v>60</v>
      </c>
      <c r="B63" s="25" t="s">
        <v>219</v>
      </c>
      <c r="C63" s="5" t="s">
        <v>74</v>
      </c>
      <c r="D63" s="62"/>
      <c r="E63" s="58">
        <v>1</v>
      </c>
      <c r="F63" s="55" t="s">
        <v>624</v>
      </c>
      <c r="G63" s="53"/>
      <c r="H63" s="53"/>
      <c r="I63" s="53"/>
    </row>
    <row r="64" spans="1:9" x14ac:dyDescent="0.3">
      <c r="A64" s="55">
        <v>61</v>
      </c>
      <c r="B64" s="25" t="s">
        <v>220</v>
      </c>
      <c r="C64" s="5" t="s">
        <v>75</v>
      </c>
      <c r="D64" s="62"/>
      <c r="E64" s="58">
        <v>2</v>
      </c>
      <c r="F64" s="55" t="s">
        <v>624</v>
      </c>
      <c r="G64" s="53"/>
      <c r="H64" s="53"/>
      <c r="I64" s="53"/>
    </row>
    <row r="65" spans="1:9" x14ac:dyDescent="0.3">
      <c r="A65" s="55">
        <v>62</v>
      </c>
      <c r="B65" s="25" t="s">
        <v>221</v>
      </c>
      <c r="C65" s="5" t="s">
        <v>75</v>
      </c>
      <c r="D65" s="62"/>
      <c r="E65" s="58">
        <v>2</v>
      </c>
      <c r="F65" s="55" t="s">
        <v>624</v>
      </c>
      <c r="G65" s="53"/>
      <c r="H65" s="53"/>
      <c r="I65" s="53"/>
    </row>
    <row r="66" spans="1:9" x14ac:dyDescent="0.3">
      <c r="A66" s="55">
        <v>63</v>
      </c>
      <c r="B66" s="25" t="s">
        <v>222</v>
      </c>
      <c r="C66" s="5" t="s">
        <v>75</v>
      </c>
      <c r="D66" s="62"/>
      <c r="E66" s="58">
        <v>2</v>
      </c>
      <c r="F66" s="55" t="s">
        <v>624</v>
      </c>
      <c r="G66" s="53"/>
      <c r="H66" s="53"/>
      <c r="I66" s="53"/>
    </row>
    <row r="67" spans="1:9" x14ac:dyDescent="0.3">
      <c r="A67" s="55">
        <v>64</v>
      </c>
      <c r="B67" s="25" t="s">
        <v>223</v>
      </c>
      <c r="C67" s="5" t="s">
        <v>75</v>
      </c>
      <c r="D67" s="62"/>
      <c r="E67" s="58">
        <v>2</v>
      </c>
      <c r="F67" s="55" t="s">
        <v>624</v>
      </c>
      <c r="G67" s="53"/>
      <c r="H67" s="53"/>
      <c r="I67" s="53"/>
    </row>
    <row r="68" spans="1:9" x14ac:dyDescent="0.3">
      <c r="A68" s="55">
        <v>65</v>
      </c>
      <c r="B68" s="25" t="s">
        <v>224</v>
      </c>
      <c r="C68" s="5" t="s">
        <v>75</v>
      </c>
      <c r="D68" s="62"/>
      <c r="E68" s="58">
        <v>2</v>
      </c>
      <c r="F68" s="55" t="s">
        <v>624</v>
      </c>
      <c r="G68" s="53"/>
      <c r="H68" s="53"/>
      <c r="I68" s="53"/>
    </row>
    <row r="69" spans="1:9" x14ac:dyDescent="0.3">
      <c r="A69" s="55">
        <v>66</v>
      </c>
      <c r="B69" s="25" t="s">
        <v>225</v>
      </c>
      <c r="C69" s="5" t="s">
        <v>75</v>
      </c>
      <c r="D69" s="62"/>
      <c r="E69" s="58">
        <v>2</v>
      </c>
      <c r="F69" s="55" t="s">
        <v>624</v>
      </c>
      <c r="G69" s="53"/>
      <c r="H69" s="53"/>
      <c r="I69" s="53"/>
    </row>
    <row r="70" spans="1:9" x14ac:dyDescent="0.3">
      <c r="A70" s="55">
        <v>67</v>
      </c>
      <c r="B70" s="25" t="s">
        <v>226</v>
      </c>
      <c r="C70" s="5" t="s">
        <v>75</v>
      </c>
      <c r="D70" s="62"/>
      <c r="E70" s="58">
        <v>2</v>
      </c>
      <c r="F70" s="55" t="s">
        <v>624</v>
      </c>
      <c r="G70" s="53"/>
      <c r="H70" s="53"/>
      <c r="I70" s="53"/>
    </row>
    <row r="71" spans="1:9" x14ac:dyDescent="0.3">
      <c r="A71" s="55">
        <v>68</v>
      </c>
      <c r="B71" s="25" t="s">
        <v>227</v>
      </c>
      <c r="C71" s="5" t="s">
        <v>75</v>
      </c>
      <c r="D71" s="62"/>
      <c r="E71" s="58">
        <v>2</v>
      </c>
      <c r="F71" s="55" t="s">
        <v>624</v>
      </c>
      <c r="G71" s="53"/>
      <c r="H71" s="53"/>
      <c r="I71" s="53"/>
    </row>
    <row r="72" spans="1:9" x14ac:dyDescent="0.3">
      <c r="A72" s="55">
        <v>69</v>
      </c>
      <c r="B72" s="25" t="s">
        <v>228</v>
      </c>
      <c r="C72" s="5" t="s">
        <v>75</v>
      </c>
      <c r="D72" s="62"/>
      <c r="E72" s="58">
        <v>2</v>
      </c>
      <c r="F72" s="55" t="s">
        <v>624</v>
      </c>
      <c r="G72" s="53"/>
      <c r="H72" s="53"/>
      <c r="I72" s="53"/>
    </row>
    <row r="73" spans="1:9" x14ac:dyDescent="0.3">
      <c r="A73" s="55">
        <v>70</v>
      </c>
      <c r="B73" s="25" t="s">
        <v>229</v>
      </c>
      <c r="C73" s="5" t="s">
        <v>75</v>
      </c>
      <c r="D73" s="62"/>
      <c r="E73" s="58">
        <v>2</v>
      </c>
      <c r="F73" s="55" t="s">
        <v>624</v>
      </c>
      <c r="G73" s="53"/>
      <c r="H73" s="53"/>
      <c r="I73" s="53"/>
    </row>
    <row r="74" spans="1:9" x14ac:dyDescent="0.3">
      <c r="A74" s="55">
        <v>71</v>
      </c>
      <c r="B74" s="25" t="s">
        <v>230</v>
      </c>
      <c r="C74" s="5" t="s">
        <v>75</v>
      </c>
      <c r="D74" s="62"/>
      <c r="E74" s="58">
        <v>2</v>
      </c>
      <c r="F74" s="55" t="s">
        <v>624</v>
      </c>
      <c r="G74" s="53"/>
      <c r="H74" s="53"/>
      <c r="I74" s="53"/>
    </row>
    <row r="75" spans="1:9" x14ac:dyDescent="0.3">
      <c r="A75" s="55">
        <v>72</v>
      </c>
      <c r="B75" s="25" t="s">
        <v>231</v>
      </c>
      <c r="C75" s="5" t="s">
        <v>75</v>
      </c>
      <c r="D75" s="62"/>
      <c r="E75" s="58">
        <v>2</v>
      </c>
      <c r="F75" s="55" t="s">
        <v>624</v>
      </c>
      <c r="G75" s="53"/>
      <c r="H75" s="53"/>
      <c r="I75" s="53"/>
    </row>
    <row r="76" spans="1:9" x14ac:dyDescent="0.3">
      <c r="A76" s="55">
        <v>73</v>
      </c>
      <c r="B76" s="25" t="s">
        <v>232</v>
      </c>
      <c r="C76" s="5" t="s">
        <v>75</v>
      </c>
      <c r="D76" s="62"/>
      <c r="E76" s="58">
        <v>2</v>
      </c>
      <c r="F76" s="55" t="s">
        <v>624</v>
      </c>
      <c r="G76" s="53"/>
      <c r="H76" s="53"/>
      <c r="I76" s="53"/>
    </row>
    <row r="77" spans="1:9" x14ac:dyDescent="0.3">
      <c r="A77" s="55">
        <v>74</v>
      </c>
      <c r="B77" s="25" t="s">
        <v>233</v>
      </c>
      <c r="C77" s="5" t="s">
        <v>75</v>
      </c>
      <c r="D77" s="62"/>
      <c r="E77" s="58">
        <v>2</v>
      </c>
      <c r="F77" s="55" t="s">
        <v>624</v>
      </c>
      <c r="G77" s="53"/>
      <c r="H77" s="53"/>
      <c r="I77" s="53"/>
    </row>
    <row r="78" spans="1:9" x14ac:dyDescent="0.3">
      <c r="A78" s="55">
        <v>75</v>
      </c>
      <c r="B78" s="25" t="s">
        <v>234</v>
      </c>
      <c r="C78" s="5" t="s">
        <v>75</v>
      </c>
      <c r="D78" s="62"/>
      <c r="E78" s="58">
        <v>2</v>
      </c>
      <c r="F78" s="55" t="s">
        <v>624</v>
      </c>
      <c r="G78" s="53"/>
      <c r="H78" s="53"/>
      <c r="I78" s="53"/>
    </row>
    <row r="79" spans="1:9" x14ac:dyDescent="0.3">
      <c r="A79" s="55">
        <v>76</v>
      </c>
      <c r="B79" s="25" t="s">
        <v>235</v>
      </c>
      <c r="C79" s="5" t="s">
        <v>75</v>
      </c>
      <c r="D79" s="62"/>
      <c r="E79" s="58">
        <v>2</v>
      </c>
      <c r="F79" s="55" t="s">
        <v>624</v>
      </c>
      <c r="G79" s="53"/>
      <c r="H79" s="53"/>
      <c r="I79" s="53"/>
    </row>
    <row r="80" spans="1:9" x14ac:dyDescent="0.3">
      <c r="A80" s="55">
        <v>77</v>
      </c>
      <c r="B80" s="25" t="s">
        <v>236</v>
      </c>
      <c r="C80" s="5" t="s">
        <v>75</v>
      </c>
      <c r="D80" s="62"/>
      <c r="E80" s="58">
        <v>2</v>
      </c>
      <c r="F80" s="55" t="s">
        <v>624</v>
      </c>
      <c r="G80" s="53"/>
      <c r="H80" s="53"/>
      <c r="I80" s="53"/>
    </row>
    <row r="81" spans="1:9" x14ac:dyDescent="0.3">
      <c r="A81" s="55">
        <v>78</v>
      </c>
      <c r="B81" s="25" t="s">
        <v>237</v>
      </c>
      <c r="C81" s="5" t="s">
        <v>75</v>
      </c>
      <c r="D81" s="62"/>
      <c r="E81" s="58">
        <v>2</v>
      </c>
      <c r="F81" s="55" t="s">
        <v>624</v>
      </c>
      <c r="G81" s="53"/>
      <c r="H81" s="53"/>
      <c r="I81" s="53"/>
    </row>
    <row r="82" spans="1:9" x14ac:dyDescent="0.3">
      <c r="A82" s="55">
        <v>79</v>
      </c>
      <c r="B82" s="25" t="s">
        <v>238</v>
      </c>
      <c r="C82" s="5" t="s">
        <v>75</v>
      </c>
      <c r="D82" s="62"/>
      <c r="E82" s="58">
        <v>2</v>
      </c>
      <c r="F82" s="55" t="s">
        <v>624</v>
      </c>
      <c r="G82" s="53"/>
      <c r="H82" s="53"/>
      <c r="I82" s="53"/>
    </row>
    <row r="83" spans="1:9" x14ac:dyDescent="0.3">
      <c r="A83" s="55">
        <v>80</v>
      </c>
      <c r="B83" s="25" t="s">
        <v>239</v>
      </c>
      <c r="C83" s="5" t="s">
        <v>75</v>
      </c>
      <c r="D83" s="62"/>
      <c r="E83" s="58">
        <v>2</v>
      </c>
      <c r="F83" s="55" t="s">
        <v>624</v>
      </c>
      <c r="G83" s="53"/>
      <c r="H83" s="53"/>
      <c r="I83" s="53"/>
    </row>
    <row r="84" spans="1:9" x14ac:dyDescent="0.3">
      <c r="A84" s="55">
        <v>81</v>
      </c>
      <c r="B84" s="25" t="s">
        <v>240</v>
      </c>
      <c r="C84" s="5" t="s">
        <v>75</v>
      </c>
      <c r="D84" s="62"/>
      <c r="E84" s="58">
        <v>2</v>
      </c>
      <c r="F84" s="55" t="s">
        <v>624</v>
      </c>
      <c r="G84" s="53"/>
      <c r="H84" s="53"/>
      <c r="I84" s="53"/>
    </row>
    <row r="85" spans="1:9" x14ac:dyDescent="0.3">
      <c r="A85" s="55">
        <v>82</v>
      </c>
      <c r="B85" s="25" t="s">
        <v>241</v>
      </c>
      <c r="C85" s="5" t="s">
        <v>75</v>
      </c>
      <c r="D85" s="62"/>
      <c r="E85" s="58">
        <v>2</v>
      </c>
      <c r="F85" s="55" t="s">
        <v>624</v>
      </c>
      <c r="G85" s="53"/>
      <c r="H85" s="53"/>
      <c r="I85" s="53"/>
    </row>
    <row r="86" spans="1:9" x14ac:dyDescent="0.3">
      <c r="A86" s="55">
        <v>83</v>
      </c>
      <c r="B86" s="25" t="s">
        <v>242</v>
      </c>
      <c r="C86" s="5" t="s">
        <v>75</v>
      </c>
      <c r="D86" s="62"/>
      <c r="E86" s="58">
        <v>2</v>
      </c>
      <c r="F86" s="55" t="s">
        <v>624</v>
      </c>
      <c r="G86" s="53"/>
      <c r="H86" s="53"/>
      <c r="I86" s="53"/>
    </row>
    <row r="87" spans="1:9" x14ac:dyDescent="0.3">
      <c r="A87" s="55">
        <v>84</v>
      </c>
      <c r="B87" s="25" t="s">
        <v>243</v>
      </c>
      <c r="C87" s="5" t="s">
        <v>75</v>
      </c>
      <c r="D87" s="62"/>
      <c r="E87" s="58">
        <v>2</v>
      </c>
      <c r="F87" s="55" t="s">
        <v>624</v>
      </c>
      <c r="G87" s="53"/>
      <c r="H87" s="53"/>
      <c r="I87" s="53"/>
    </row>
    <row r="88" spans="1:9" x14ac:dyDescent="0.3">
      <c r="A88" s="55">
        <v>85</v>
      </c>
      <c r="B88" s="25" t="s">
        <v>244</v>
      </c>
      <c r="C88" s="5" t="s">
        <v>75</v>
      </c>
      <c r="D88" s="62"/>
      <c r="E88" s="58">
        <v>2</v>
      </c>
      <c r="F88" s="55" t="s">
        <v>624</v>
      </c>
      <c r="G88" s="53"/>
      <c r="H88" s="53"/>
      <c r="I88" s="53"/>
    </row>
    <row r="89" spans="1:9" x14ac:dyDescent="0.3">
      <c r="A89" s="55">
        <v>86</v>
      </c>
      <c r="B89" s="25" t="s">
        <v>245</v>
      </c>
      <c r="C89" s="5" t="s">
        <v>75</v>
      </c>
      <c r="D89" s="62"/>
      <c r="E89" s="58">
        <v>2</v>
      </c>
      <c r="F89" s="55" t="s">
        <v>624</v>
      </c>
      <c r="G89" s="53"/>
      <c r="H89" s="53"/>
      <c r="I89" s="53"/>
    </row>
    <row r="90" spans="1:9" x14ac:dyDescent="0.3">
      <c r="A90" s="55">
        <v>87</v>
      </c>
      <c r="B90" s="25" t="s">
        <v>246</v>
      </c>
      <c r="C90" s="5" t="s">
        <v>75</v>
      </c>
      <c r="D90" s="62"/>
      <c r="E90" s="58">
        <v>2</v>
      </c>
      <c r="F90" s="55" t="s">
        <v>624</v>
      </c>
      <c r="G90" s="53"/>
      <c r="H90" s="53"/>
      <c r="I90" s="53"/>
    </row>
    <row r="91" spans="1:9" x14ac:dyDescent="0.3">
      <c r="A91" s="55">
        <v>88</v>
      </c>
      <c r="B91" s="25" t="s">
        <v>247</v>
      </c>
      <c r="C91" s="5" t="s">
        <v>75</v>
      </c>
      <c r="D91" s="62"/>
      <c r="E91" s="58">
        <v>2</v>
      </c>
      <c r="F91" s="55" t="s">
        <v>624</v>
      </c>
      <c r="G91" s="53"/>
      <c r="H91" s="53"/>
      <c r="I91" s="53"/>
    </row>
    <row r="92" spans="1:9" x14ac:dyDescent="0.3">
      <c r="A92" s="55">
        <v>89</v>
      </c>
      <c r="B92" s="25" t="s">
        <v>248</v>
      </c>
      <c r="C92" s="5" t="s">
        <v>75</v>
      </c>
      <c r="D92" s="62"/>
      <c r="E92" s="58">
        <v>2</v>
      </c>
      <c r="F92" s="55" t="s">
        <v>624</v>
      </c>
      <c r="G92" s="53"/>
      <c r="H92" s="53"/>
      <c r="I92" s="53"/>
    </row>
    <row r="93" spans="1:9" x14ac:dyDescent="0.3">
      <c r="A93" s="55">
        <v>90</v>
      </c>
      <c r="B93" s="25" t="s">
        <v>249</v>
      </c>
      <c r="C93" s="5" t="s">
        <v>75</v>
      </c>
      <c r="D93" s="62"/>
      <c r="E93" s="58">
        <v>2</v>
      </c>
      <c r="F93" s="55" t="s">
        <v>624</v>
      </c>
      <c r="G93" s="53"/>
      <c r="H93" s="53"/>
      <c r="I93" s="53"/>
    </row>
    <row r="94" spans="1:9" x14ac:dyDescent="0.3">
      <c r="A94" s="55">
        <v>91</v>
      </c>
      <c r="B94" s="25" t="s">
        <v>250</v>
      </c>
      <c r="C94" s="5" t="s">
        <v>75</v>
      </c>
      <c r="D94" s="62"/>
      <c r="E94" s="58">
        <v>2</v>
      </c>
      <c r="F94" s="55" t="s">
        <v>624</v>
      </c>
      <c r="G94" s="53"/>
      <c r="H94" s="53"/>
      <c r="I94" s="53"/>
    </row>
    <row r="95" spans="1:9" x14ac:dyDescent="0.3">
      <c r="A95" s="55">
        <v>92</v>
      </c>
      <c r="B95" s="25" t="s">
        <v>251</v>
      </c>
      <c r="C95" s="5" t="s">
        <v>75</v>
      </c>
      <c r="D95" s="62"/>
      <c r="E95" s="58">
        <v>2</v>
      </c>
      <c r="F95" s="55" t="s">
        <v>624</v>
      </c>
      <c r="G95" s="53"/>
      <c r="H95" s="53"/>
      <c r="I95" s="53"/>
    </row>
    <row r="96" spans="1:9" x14ac:dyDescent="0.3">
      <c r="A96" s="55">
        <v>93</v>
      </c>
      <c r="B96" s="25" t="s">
        <v>252</v>
      </c>
      <c r="C96" s="5" t="s">
        <v>75</v>
      </c>
      <c r="D96" s="62"/>
      <c r="E96" s="58">
        <v>2</v>
      </c>
      <c r="F96" s="55" t="s">
        <v>624</v>
      </c>
      <c r="G96" s="53"/>
      <c r="H96" s="53"/>
      <c r="I96" s="53"/>
    </row>
    <row r="97" spans="1:9" x14ac:dyDescent="0.3">
      <c r="A97" s="55">
        <v>94</v>
      </c>
      <c r="B97" s="25" t="s">
        <v>253</v>
      </c>
      <c r="C97" s="5" t="s">
        <v>75</v>
      </c>
      <c r="D97" s="62"/>
      <c r="E97" s="58">
        <v>2</v>
      </c>
      <c r="F97" s="55" t="s">
        <v>624</v>
      </c>
      <c r="G97" s="53"/>
      <c r="H97" s="53"/>
      <c r="I97" s="53"/>
    </row>
    <row r="98" spans="1:9" x14ac:dyDescent="0.3">
      <c r="A98" s="55">
        <v>95</v>
      </c>
      <c r="B98" s="25" t="s">
        <v>254</v>
      </c>
      <c r="C98" s="5" t="s">
        <v>75</v>
      </c>
      <c r="D98" s="62"/>
      <c r="E98" s="58">
        <v>2</v>
      </c>
      <c r="F98" s="55" t="s">
        <v>624</v>
      </c>
      <c r="G98" s="53"/>
      <c r="H98" s="53"/>
      <c r="I98" s="53"/>
    </row>
    <row r="99" spans="1:9" x14ac:dyDescent="0.3">
      <c r="A99" s="55">
        <v>96</v>
      </c>
      <c r="B99" s="25" t="s">
        <v>255</v>
      </c>
      <c r="C99" s="5" t="s">
        <v>75</v>
      </c>
      <c r="D99" s="62"/>
      <c r="E99" s="58">
        <v>2</v>
      </c>
      <c r="F99" s="55" t="s">
        <v>624</v>
      </c>
      <c r="G99" s="53"/>
      <c r="H99" s="53"/>
      <c r="I99" s="53"/>
    </row>
    <row r="100" spans="1:9" x14ac:dyDescent="0.3">
      <c r="A100" s="55">
        <v>97</v>
      </c>
      <c r="B100" s="25" t="s">
        <v>256</v>
      </c>
      <c r="C100" s="5" t="s">
        <v>75</v>
      </c>
      <c r="D100" s="62"/>
      <c r="E100" s="58">
        <v>2</v>
      </c>
      <c r="F100" s="55" t="s">
        <v>624</v>
      </c>
      <c r="G100" s="53"/>
      <c r="H100" s="53"/>
      <c r="I100" s="53"/>
    </row>
    <row r="101" spans="1:9" x14ac:dyDescent="0.3">
      <c r="A101" s="55">
        <v>98</v>
      </c>
      <c r="B101" s="25" t="s">
        <v>257</v>
      </c>
      <c r="C101" s="5" t="s">
        <v>75</v>
      </c>
      <c r="D101" s="62"/>
      <c r="E101" s="58">
        <v>2</v>
      </c>
      <c r="F101" s="55" t="s">
        <v>624</v>
      </c>
      <c r="G101" s="53"/>
      <c r="H101" s="53"/>
      <c r="I101" s="53"/>
    </row>
    <row r="102" spans="1:9" x14ac:dyDescent="0.3">
      <c r="A102" s="55">
        <v>99</v>
      </c>
      <c r="B102" s="25" t="s">
        <v>258</v>
      </c>
      <c r="C102" s="5" t="s">
        <v>75</v>
      </c>
      <c r="D102" s="62"/>
      <c r="E102" s="58">
        <v>2</v>
      </c>
      <c r="F102" s="55" t="s">
        <v>624</v>
      </c>
      <c r="G102" s="53"/>
      <c r="H102" s="53"/>
      <c r="I102" s="53"/>
    </row>
    <row r="103" spans="1:9" x14ac:dyDescent="0.3">
      <c r="A103" s="55">
        <v>100</v>
      </c>
      <c r="B103" s="25" t="s">
        <v>259</v>
      </c>
      <c r="C103" s="5" t="s">
        <v>75</v>
      </c>
      <c r="D103" s="62"/>
      <c r="E103" s="58">
        <v>2</v>
      </c>
      <c r="F103" s="55" t="s">
        <v>624</v>
      </c>
      <c r="G103" s="53"/>
      <c r="H103" s="53"/>
      <c r="I103" s="53"/>
    </row>
    <row r="104" spans="1:9" x14ac:dyDescent="0.3">
      <c r="A104" s="55">
        <v>101</v>
      </c>
      <c r="B104" s="25" t="s">
        <v>260</v>
      </c>
      <c r="C104" s="45" t="s">
        <v>76</v>
      </c>
      <c r="D104" s="62"/>
      <c r="E104" s="58">
        <v>2</v>
      </c>
      <c r="F104" s="55" t="s">
        <v>624</v>
      </c>
      <c r="G104" s="53"/>
      <c r="H104" s="53"/>
      <c r="I104" s="53"/>
    </row>
    <row r="105" spans="1:9" x14ac:dyDescent="0.3">
      <c r="A105" s="55">
        <v>102</v>
      </c>
      <c r="B105" s="25" t="s">
        <v>261</v>
      </c>
      <c r="C105" s="5" t="s">
        <v>76</v>
      </c>
      <c r="D105" s="62"/>
      <c r="E105" s="58">
        <v>2</v>
      </c>
      <c r="F105" s="55" t="s">
        <v>624</v>
      </c>
      <c r="G105" s="53"/>
      <c r="H105" s="53"/>
      <c r="I105" s="53"/>
    </row>
    <row r="106" spans="1:9" x14ac:dyDescent="0.3">
      <c r="A106" s="55">
        <v>103</v>
      </c>
      <c r="B106" s="25" t="s">
        <v>262</v>
      </c>
      <c r="C106" s="5" t="s">
        <v>76</v>
      </c>
      <c r="D106" s="62"/>
      <c r="E106" s="58">
        <v>2</v>
      </c>
      <c r="F106" s="55" t="s">
        <v>624</v>
      </c>
      <c r="G106" s="53"/>
      <c r="H106" s="53"/>
      <c r="I106" s="53"/>
    </row>
    <row r="107" spans="1:9" x14ac:dyDescent="0.3">
      <c r="A107" s="55">
        <v>104</v>
      </c>
      <c r="B107" s="25" t="s">
        <v>263</v>
      </c>
      <c r="C107" s="5" t="s">
        <v>76</v>
      </c>
      <c r="D107" s="62"/>
      <c r="E107" s="58">
        <v>3</v>
      </c>
      <c r="F107" s="55" t="s">
        <v>624</v>
      </c>
      <c r="G107" s="53"/>
      <c r="H107" s="53"/>
      <c r="I107" s="53"/>
    </row>
    <row r="108" spans="1:9" x14ac:dyDescent="0.3">
      <c r="A108" s="55">
        <v>105</v>
      </c>
      <c r="B108" s="25" t="s">
        <v>264</v>
      </c>
      <c r="C108" s="5" t="s">
        <v>76</v>
      </c>
      <c r="D108" s="62"/>
      <c r="E108" s="58">
        <v>2</v>
      </c>
      <c r="F108" s="55" t="s">
        <v>624</v>
      </c>
      <c r="G108" s="53"/>
      <c r="H108" s="53"/>
      <c r="I108" s="53"/>
    </row>
    <row r="109" spans="1:9" x14ac:dyDescent="0.3">
      <c r="A109" s="55">
        <v>106</v>
      </c>
      <c r="B109" s="25" t="s">
        <v>265</v>
      </c>
      <c r="C109" s="5" t="s">
        <v>76</v>
      </c>
      <c r="D109" s="62"/>
      <c r="E109" s="58">
        <v>2</v>
      </c>
      <c r="F109" s="55" t="s">
        <v>624</v>
      </c>
      <c r="G109" s="53"/>
      <c r="H109" s="53"/>
      <c r="I109" s="53"/>
    </row>
    <row r="110" spans="1:9" x14ac:dyDescent="0.3">
      <c r="A110" s="55">
        <v>107</v>
      </c>
      <c r="B110" s="25" t="s">
        <v>266</v>
      </c>
      <c r="C110" s="5" t="s">
        <v>76</v>
      </c>
      <c r="D110" s="62"/>
      <c r="E110" s="58">
        <v>3</v>
      </c>
      <c r="F110" s="55" t="s">
        <v>624</v>
      </c>
      <c r="G110" s="53"/>
      <c r="H110" s="53"/>
      <c r="I110" s="53"/>
    </row>
    <row r="111" spans="1:9" x14ac:dyDescent="0.3">
      <c r="A111" s="55">
        <v>108</v>
      </c>
      <c r="B111" s="25" t="s">
        <v>267</v>
      </c>
      <c r="C111" s="5" t="s">
        <v>76</v>
      </c>
      <c r="D111" s="62"/>
      <c r="E111" s="58">
        <v>3</v>
      </c>
      <c r="F111" s="55" t="s">
        <v>624</v>
      </c>
      <c r="G111" s="53"/>
      <c r="H111" s="53"/>
      <c r="I111" s="53"/>
    </row>
    <row r="112" spans="1:9" x14ac:dyDescent="0.3">
      <c r="A112" s="55">
        <v>109</v>
      </c>
      <c r="B112" s="25" t="s">
        <v>268</v>
      </c>
      <c r="C112" s="5" t="s">
        <v>76</v>
      </c>
      <c r="D112" s="62"/>
      <c r="E112" s="58">
        <v>1</v>
      </c>
      <c r="F112" s="55" t="s">
        <v>624</v>
      </c>
      <c r="G112" s="53"/>
      <c r="H112" s="53"/>
      <c r="I112" s="53"/>
    </row>
    <row r="113" spans="1:9" x14ac:dyDescent="0.3">
      <c r="A113" s="55">
        <v>110</v>
      </c>
      <c r="B113" s="25" t="s">
        <v>269</v>
      </c>
      <c r="C113" s="5" t="s">
        <v>76</v>
      </c>
      <c r="D113" s="62"/>
      <c r="E113" s="58">
        <v>2</v>
      </c>
      <c r="F113" s="55" t="s">
        <v>624</v>
      </c>
      <c r="G113" s="53"/>
      <c r="H113" s="53"/>
      <c r="I113" s="53"/>
    </row>
    <row r="114" spans="1:9" x14ac:dyDescent="0.3">
      <c r="A114" s="55">
        <v>111</v>
      </c>
      <c r="B114" s="25" t="s">
        <v>270</v>
      </c>
      <c r="C114" s="5" t="s">
        <v>76</v>
      </c>
      <c r="D114" s="62"/>
      <c r="E114" s="58">
        <v>2</v>
      </c>
      <c r="F114" s="55" t="s">
        <v>624</v>
      </c>
      <c r="G114" s="53"/>
      <c r="H114" s="53"/>
      <c r="I114" s="53"/>
    </row>
    <row r="115" spans="1:9" x14ac:dyDescent="0.3">
      <c r="A115" s="55">
        <v>112</v>
      </c>
      <c r="B115" s="25" t="s">
        <v>271</v>
      </c>
      <c r="C115" s="5" t="s">
        <v>76</v>
      </c>
      <c r="D115" s="62"/>
      <c r="E115" s="58">
        <v>2</v>
      </c>
      <c r="F115" s="55" t="s">
        <v>624</v>
      </c>
      <c r="G115" s="53"/>
      <c r="H115" s="53"/>
      <c r="I115" s="53"/>
    </row>
    <row r="116" spans="1:9" x14ac:dyDescent="0.3">
      <c r="A116" s="55">
        <v>113</v>
      </c>
      <c r="B116" s="25" t="s">
        <v>272</v>
      </c>
      <c r="C116" s="5" t="s">
        <v>76</v>
      </c>
      <c r="D116" s="62"/>
      <c r="E116" s="58">
        <v>2</v>
      </c>
      <c r="F116" s="55" t="s">
        <v>624</v>
      </c>
      <c r="G116" s="53"/>
      <c r="H116" s="53"/>
      <c r="I116" s="53"/>
    </row>
    <row r="117" spans="1:9" x14ac:dyDescent="0.3">
      <c r="A117" s="55">
        <v>114</v>
      </c>
      <c r="B117" s="25" t="s">
        <v>273</v>
      </c>
      <c r="C117" s="5" t="s">
        <v>76</v>
      </c>
      <c r="D117" s="62"/>
      <c r="E117" s="58">
        <v>2</v>
      </c>
      <c r="F117" s="55" t="s">
        <v>624</v>
      </c>
      <c r="G117" s="53"/>
      <c r="H117" s="53"/>
      <c r="I117" s="53"/>
    </row>
    <row r="118" spans="1:9" x14ac:dyDescent="0.3">
      <c r="A118" s="55">
        <v>115</v>
      </c>
      <c r="B118" s="25" t="s">
        <v>234</v>
      </c>
      <c r="C118" s="5" t="s">
        <v>76</v>
      </c>
      <c r="D118" s="62"/>
      <c r="E118" s="58">
        <v>2</v>
      </c>
      <c r="F118" s="55" t="s">
        <v>624</v>
      </c>
      <c r="G118" s="53"/>
      <c r="H118" s="53"/>
      <c r="I118" s="53"/>
    </row>
    <row r="119" spans="1:9" x14ac:dyDescent="0.3">
      <c r="A119" s="55">
        <v>116</v>
      </c>
      <c r="B119" s="25" t="s">
        <v>274</v>
      </c>
      <c r="C119" s="5" t="s">
        <v>76</v>
      </c>
      <c r="D119" s="62"/>
      <c r="E119" s="58">
        <v>2</v>
      </c>
      <c r="F119" s="55" t="s">
        <v>624</v>
      </c>
      <c r="G119" s="53"/>
      <c r="H119" s="53"/>
      <c r="I119" s="53"/>
    </row>
    <row r="120" spans="1:9" x14ac:dyDescent="0.3">
      <c r="A120" s="55">
        <v>117</v>
      </c>
      <c r="B120" s="25" t="s">
        <v>275</v>
      </c>
      <c r="C120" s="5" t="s">
        <v>76</v>
      </c>
      <c r="D120" s="62"/>
      <c r="E120" s="58">
        <v>2</v>
      </c>
      <c r="F120" s="55" t="s">
        <v>624</v>
      </c>
      <c r="G120" s="53"/>
      <c r="H120" s="53"/>
      <c r="I120" s="53"/>
    </row>
    <row r="121" spans="1:9" x14ac:dyDescent="0.3">
      <c r="A121" s="55">
        <v>118</v>
      </c>
      <c r="B121" s="25" t="s">
        <v>276</v>
      </c>
      <c r="C121" s="5" t="s">
        <v>76</v>
      </c>
      <c r="D121" s="62"/>
      <c r="E121" s="58">
        <v>2</v>
      </c>
      <c r="F121" s="55" t="s">
        <v>624</v>
      </c>
      <c r="G121" s="53"/>
      <c r="H121" s="53"/>
      <c r="I121" s="53"/>
    </row>
    <row r="122" spans="1:9" x14ac:dyDescent="0.3">
      <c r="A122" s="55">
        <v>119</v>
      </c>
      <c r="B122" s="25" t="s">
        <v>277</v>
      </c>
      <c r="C122" s="5" t="s">
        <v>76</v>
      </c>
      <c r="D122" s="62"/>
      <c r="E122" s="58">
        <v>2</v>
      </c>
      <c r="F122" s="55" t="s">
        <v>624</v>
      </c>
      <c r="G122" s="53"/>
      <c r="H122" s="53"/>
      <c r="I122" s="53"/>
    </row>
    <row r="123" spans="1:9" x14ac:dyDescent="0.3">
      <c r="A123" s="55">
        <v>120</v>
      </c>
      <c r="B123" s="25" t="s">
        <v>278</v>
      </c>
      <c r="C123" s="5" t="s">
        <v>76</v>
      </c>
      <c r="D123" s="62"/>
      <c r="E123" s="58">
        <v>2</v>
      </c>
      <c r="F123" s="55" t="s">
        <v>624</v>
      </c>
      <c r="G123" s="53"/>
      <c r="H123" s="53"/>
      <c r="I123" s="53"/>
    </row>
    <row r="124" spans="1:9" x14ac:dyDescent="0.3">
      <c r="A124" s="55">
        <v>121</v>
      </c>
      <c r="B124" s="25" t="s">
        <v>279</v>
      </c>
      <c r="C124" s="5" t="s">
        <v>76</v>
      </c>
      <c r="D124" s="62"/>
      <c r="E124" s="58">
        <v>2</v>
      </c>
      <c r="F124" s="55" t="s">
        <v>624</v>
      </c>
      <c r="G124" s="53"/>
      <c r="H124" s="53"/>
      <c r="I124" s="53"/>
    </row>
    <row r="125" spans="1:9" x14ac:dyDescent="0.3">
      <c r="A125" s="55">
        <v>122</v>
      </c>
      <c r="B125" s="25" t="s">
        <v>280</v>
      </c>
      <c r="C125" s="5" t="s">
        <v>76</v>
      </c>
      <c r="D125" s="62"/>
      <c r="E125" s="58">
        <v>2</v>
      </c>
      <c r="F125" s="55" t="s">
        <v>624</v>
      </c>
      <c r="G125" s="53"/>
      <c r="H125" s="53"/>
      <c r="I125" s="53"/>
    </row>
    <row r="126" spans="1:9" x14ac:dyDescent="0.3">
      <c r="A126" s="55">
        <v>123</v>
      </c>
      <c r="B126" s="25" t="s">
        <v>281</v>
      </c>
      <c r="C126" s="5" t="s">
        <v>76</v>
      </c>
      <c r="D126" s="62"/>
      <c r="E126" s="58">
        <v>2</v>
      </c>
      <c r="F126" s="55" t="s">
        <v>624</v>
      </c>
      <c r="G126" s="53"/>
      <c r="H126" s="53"/>
      <c r="I126" s="53"/>
    </row>
    <row r="127" spans="1:9" x14ac:dyDescent="0.3">
      <c r="A127" s="55">
        <v>124</v>
      </c>
      <c r="B127" s="25" t="s">
        <v>282</v>
      </c>
      <c r="C127" s="5" t="s">
        <v>76</v>
      </c>
      <c r="D127" s="62"/>
      <c r="E127" s="58">
        <v>2</v>
      </c>
      <c r="F127" s="55" t="s">
        <v>624</v>
      </c>
      <c r="G127" s="53"/>
      <c r="H127" s="53"/>
      <c r="I127" s="53"/>
    </row>
    <row r="128" spans="1:9" x14ac:dyDescent="0.3">
      <c r="A128" s="55">
        <v>125</v>
      </c>
      <c r="B128" s="25" t="s">
        <v>283</v>
      </c>
      <c r="C128" s="5" t="s">
        <v>76</v>
      </c>
      <c r="D128" s="62"/>
      <c r="E128" s="58">
        <v>1</v>
      </c>
      <c r="F128" s="55" t="s">
        <v>624</v>
      </c>
      <c r="G128" s="53"/>
      <c r="H128" s="53"/>
      <c r="I128" s="53"/>
    </row>
    <row r="129" spans="1:9" x14ac:dyDescent="0.3">
      <c r="A129" s="55">
        <v>126</v>
      </c>
      <c r="B129" s="25" t="s">
        <v>284</v>
      </c>
      <c r="C129" s="5" t="s">
        <v>76</v>
      </c>
      <c r="D129" s="62"/>
      <c r="E129" s="58">
        <v>1</v>
      </c>
      <c r="F129" s="55" t="s">
        <v>624</v>
      </c>
      <c r="G129" s="53"/>
      <c r="H129" s="53"/>
      <c r="I129" s="53"/>
    </row>
    <row r="130" spans="1:9" x14ac:dyDescent="0.3">
      <c r="A130" s="55">
        <v>127</v>
      </c>
      <c r="B130" s="25" t="s">
        <v>285</v>
      </c>
      <c r="C130" s="5" t="s">
        <v>76</v>
      </c>
      <c r="D130" s="62"/>
      <c r="E130" s="58">
        <v>2</v>
      </c>
      <c r="F130" s="55" t="s">
        <v>624</v>
      </c>
      <c r="G130" s="53"/>
      <c r="H130" s="53"/>
      <c r="I130" s="53"/>
    </row>
    <row r="131" spans="1:9" x14ac:dyDescent="0.3">
      <c r="A131" s="55">
        <v>128</v>
      </c>
      <c r="B131" s="25" t="s">
        <v>286</v>
      </c>
      <c r="C131" s="5" t="s">
        <v>76</v>
      </c>
      <c r="D131" s="62"/>
      <c r="E131" s="58">
        <v>3</v>
      </c>
      <c r="F131" s="55" t="s">
        <v>624</v>
      </c>
      <c r="G131" s="53"/>
      <c r="H131" s="53"/>
      <c r="I131" s="53"/>
    </row>
    <row r="132" spans="1:9" x14ac:dyDescent="0.3">
      <c r="A132" s="55">
        <v>129</v>
      </c>
      <c r="B132" s="25" t="s">
        <v>287</v>
      </c>
      <c r="C132" s="5" t="s">
        <v>76</v>
      </c>
      <c r="D132" s="62"/>
      <c r="E132" s="58">
        <v>3</v>
      </c>
      <c r="F132" s="55" t="s">
        <v>624</v>
      </c>
      <c r="G132" s="53"/>
      <c r="H132" s="53"/>
      <c r="I132" s="53"/>
    </row>
    <row r="133" spans="1:9" x14ac:dyDescent="0.3">
      <c r="A133" s="55">
        <v>130</v>
      </c>
      <c r="B133" s="25" t="s">
        <v>288</v>
      </c>
      <c r="C133" s="5" t="s">
        <v>76</v>
      </c>
      <c r="D133" s="62"/>
      <c r="E133" s="58">
        <v>2</v>
      </c>
      <c r="F133" s="55" t="s">
        <v>624</v>
      </c>
      <c r="G133" s="53"/>
      <c r="H133" s="53"/>
      <c r="I133" s="53"/>
    </row>
    <row r="134" spans="1:9" x14ac:dyDescent="0.3">
      <c r="A134" s="55">
        <v>131</v>
      </c>
      <c r="B134" s="25" t="s">
        <v>289</v>
      </c>
      <c r="C134" s="5" t="s">
        <v>76</v>
      </c>
      <c r="D134" s="62"/>
      <c r="E134" s="58">
        <v>2</v>
      </c>
      <c r="F134" s="55" t="s">
        <v>624</v>
      </c>
      <c r="G134" s="53"/>
      <c r="H134" s="53"/>
      <c r="I134" s="53"/>
    </row>
    <row r="135" spans="1:9" x14ac:dyDescent="0.3">
      <c r="A135" s="55">
        <v>132</v>
      </c>
      <c r="B135" s="25" t="s">
        <v>290</v>
      </c>
      <c r="C135" s="5" t="s">
        <v>76</v>
      </c>
      <c r="D135" s="62"/>
      <c r="E135" s="58">
        <v>3</v>
      </c>
      <c r="F135" s="55" t="s">
        <v>624</v>
      </c>
      <c r="G135" s="53"/>
      <c r="H135" s="53"/>
      <c r="I135" s="53"/>
    </row>
    <row r="136" spans="1:9" x14ac:dyDescent="0.3">
      <c r="A136" s="55">
        <v>133</v>
      </c>
      <c r="B136" s="25" t="s">
        <v>291</v>
      </c>
      <c r="C136" s="5" t="s">
        <v>76</v>
      </c>
      <c r="D136" s="62"/>
      <c r="E136" s="58">
        <v>2</v>
      </c>
      <c r="F136" s="55" t="s">
        <v>624</v>
      </c>
      <c r="G136" s="53"/>
      <c r="H136" s="53"/>
      <c r="I136" s="53"/>
    </row>
    <row r="137" spans="1:9" x14ac:dyDescent="0.3">
      <c r="A137" s="55">
        <v>134</v>
      </c>
      <c r="B137" s="25" t="s">
        <v>292</v>
      </c>
      <c r="C137" s="5" t="s">
        <v>76</v>
      </c>
      <c r="D137" s="62"/>
      <c r="E137" s="58">
        <v>3</v>
      </c>
      <c r="F137" s="55" t="s">
        <v>624</v>
      </c>
      <c r="G137" s="53"/>
      <c r="H137" s="53"/>
      <c r="I137" s="53"/>
    </row>
    <row r="138" spans="1:9" x14ac:dyDescent="0.3">
      <c r="A138" s="55">
        <v>135</v>
      </c>
      <c r="B138" s="25" t="s">
        <v>293</v>
      </c>
      <c r="C138" s="5" t="s">
        <v>76</v>
      </c>
      <c r="D138" s="62"/>
      <c r="E138" s="58">
        <v>2</v>
      </c>
      <c r="F138" s="55" t="s">
        <v>624</v>
      </c>
      <c r="G138" s="53"/>
      <c r="H138" s="53"/>
      <c r="I138" s="53"/>
    </row>
    <row r="139" spans="1:9" x14ac:dyDescent="0.3">
      <c r="A139" s="55">
        <v>136</v>
      </c>
      <c r="B139" s="25" t="s">
        <v>294</v>
      </c>
      <c r="C139" s="5" t="s">
        <v>76</v>
      </c>
      <c r="D139" s="62"/>
      <c r="E139" s="58">
        <v>1</v>
      </c>
      <c r="F139" s="55" t="s">
        <v>624</v>
      </c>
      <c r="G139" s="53"/>
      <c r="H139" s="53"/>
      <c r="I139" s="53"/>
    </row>
    <row r="140" spans="1:9" x14ac:dyDescent="0.3">
      <c r="A140" s="55">
        <v>137</v>
      </c>
      <c r="B140" s="25" t="s">
        <v>295</v>
      </c>
      <c r="C140" s="5" t="s">
        <v>76</v>
      </c>
      <c r="D140" s="62"/>
      <c r="E140" s="58">
        <v>1</v>
      </c>
      <c r="F140" s="55" t="s">
        <v>624</v>
      </c>
      <c r="G140" s="53"/>
      <c r="H140" s="53"/>
      <c r="I140" s="53"/>
    </row>
    <row r="141" spans="1:9" x14ac:dyDescent="0.3">
      <c r="A141" s="55">
        <v>138</v>
      </c>
      <c r="B141" s="25" t="s">
        <v>296</v>
      </c>
      <c r="C141" s="5" t="s">
        <v>76</v>
      </c>
      <c r="D141" s="62"/>
      <c r="E141" s="58">
        <v>1</v>
      </c>
      <c r="F141" s="55" t="s">
        <v>624</v>
      </c>
      <c r="G141" s="53"/>
      <c r="H141" s="53"/>
      <c r="I141" s="53"/>
    </row>
    <row r="142" spans="1:9" x14ac:dyDescent="0.3">
      <c r="A142" s="55">
        <v>139</v>
      </c>
      <c r="B142" s="25" t="s">
        <v>297</v>
      </c>
      <c r="C142" s="5" t="s">
        <v>76</v>
      </c>
      <c r="D142" s="62"/>
      <c r="E142" s="58">
        <v>1</v>
      </c>
      <c r="F142" s="55" t="s">
        <v>624</v>
      </c>
      <c r="G142" s="53"/>
      <c r="H142" s="53"/>
      <c r="I142" s="53"/>
    </row>
    <row r="143" spans="1:9" x14ac:dyDescent="0.3">
      <c r="A143" s="55">
        <v>140</v>
      </c>
      <c r="B143" s="25" t="s">
        <v>298</v>
      </c>
      <c r="C143" s="5" t="s">
        <v>76</v>
      </c>
      <c r="D143" s="62"/>
      <c r="E143" s="58">
        <v>1</v>
      </c>
      <c r="F143" s="55" t="s">
        <v>624</v>
      </c>
      <c r="G143" s="53"/>
      <c r="H143" s="53"/>
      <c r="I143" s="53"/>
    </row>
    <row r="144" spans="1:9" x14ac:dyDescent="0.3">
      <c r="A144" s="55">
        <v>141</v>
      </c>
      <c r="B144" s="25" t="s">
        <v>299</v>
      </c>
      <c r="C144" s="45" t="s">
        <v>77</v>
      </c>
      <c r="D144" s="62"/>
      <c r="E144" s="58">
        <v>2</v>
      </c>
      <c r="F144" s="55" t="s">
        <v>624</v>
      </c>
      <c r="G144" s="53"/>
      <c r="H144" s="53"/>
      <c r="I144" s="53"/>
    </row>
    <row r="145" spans="1:9" x14ac:dyDescent="0.3">
      <c r="A145" s="55">
        <v>142</v>
      </c>
      <c r="B145" s="25" t="s">
        <v>300</v>
      </c>
      <c r="C145" s="5" t="s">
        <v>77</v>
      </c>
      <c r="D145" s="62"/>
      <c r="E145" s="58">
        <v>2</v>
      </c>
      <c r="F145" s="55" t="s">
        <v>624</v>
      </c>
      <c r="G145" s="53"/>
      <c r="H145" s="53"/>
      <c r="I145" s="53"/>
    </row>
    <row r="146" spans="1:9" x14ac:dyDescent="0.3">
      <c r="A146" s="55">
        <v>143</v>
      </c>
      <c r="B146" s="25" t="s">
        <v>301</v>
      </c>
      <c r="C146" s="5" t="s">
        <v>77</v>
      </c>
      <c r="D146" s="62"/>
      <c r="E146" s="58">
        <v>2</v>
      </c>
      <c r="F146" s="55" t="s">
        <v>624</v>
      </c>
      <c r="G146" s="53"/>
      <c r="H146" s="53"/>
      <c r="I146" s="53"/>
    </row>
    <row r="147" spans="1:9" x14ac:dyDescent="0.3">
      <c r="A147" s="55">
        <v>144</v>
      </c>
      <c r="B147" s="25" t="s">
        <v>302</v>
      </c>
      <c r="C147" s="5" t="s">
        <v>77</v>
      </c>
      <c r="D147" s="62"/>
      <c r="E147" s="58">
        <v>2</v>
      </c>
      <c r="F147" s="55" t="s">
        <v>624</v>
      </c>
      <c r="G147" s="53"/>
      <c r="H147" s="53"/>
      <c r="I147" s="53"/>
    </row>
    <row r="148" spans="1:9" x14ac:dyDescent="0.3">
      <c r="A148" s="55">
        <v>145</v>
      </c>
      <c r="B148" s="25" t="s">
        <v>303</v>
      </c>
      <c r="C148" s="5" t="s">
        <v>77</v>
      </c>
      <c r="D148" s="62"/>
      <c r="E148" s="58">
        <v>2</v>
      </c>
      <c r="F148" s="55" t="s">
        <v>624</v>
      </c>
      <c r="G148" s="53"/>
      <c r="H148" s="53"/>
      <c r="I148" s="53"/>
    </row>
    <row r="149" spans="1:9" x14ac:dyDescent="0.3">
      <c r="A149" s="55">
        <v>146</v>
      </c>
      <c r="B149" s="25" t="s">
        <v>304</v>
      </c>
      <c r="C149" s="5" t="s">
        <v>77</v>
      </c>
      <c r="D149" s="62"/>
      <c r="E149" s="58">
        <v>2</v>
      </c>
      <c r="F149" s="55" t="s">
        <v>624</v>
      </c>
      <c r="G149" s="53"/>
      <c r="H149" s="53"/>
      <c r="I149" s="53"/>
    </row>
    <row r="150" spans="1:9" x14ac:dyDescent="0.3">
      <c r="A150" s="55">
        <v>147</v>
      </c>
      <c r="B150" s="25" t="s">
        <v>305</v>
      </c>
      <c r="C150" s="5" t="s">
        <v>77</v>
      </c>
      <c r="D150" s="62"/>
      <c r="E150" s="58">
        <v>2</v>
      </c>
      <c r="F150" s="55" t="s">
        <v>624</v>
      </c>
      <c r="G150" s="53"/>
      <c r="H150" s="53"/>
      <c r="I150" s="53"/>
    </row>
    <row r="151" spans="1:9" x14ac:dyDescent="0.3">
      <c r="A151" s="55">
        <v>148</v>
      </c>
      <c r="B151" s="25" t="s">
        <v>306</v>
      </c>
      <c r="C151" s="5" t="s">
        <v>77</v>
      </c>
      <c r="D151" s="62"/>
      <c r="E151" s="58">
        <v>2</v>
      </c>
      <c r="F151" s="55" t="s">
        <v>624</v>
      </c>
      <c r="G151" s="53"/>
      <c r="H151" s="53"/>
      <c r="I151" s="53"/>
    </row>
    <row r="152" spans="1:9" x14ac:dyDescent="0.3">
      <c r="A152" s="55">
        <v>149</v>
      </c>
      <c r="B152" s="25" t="s">
        <v>307</v>
      </c>
      <c r="C152" s="5" t="s">
        <v>77</v>
      </c>
      <c r="D152" s="62"/>
      <c r="E152" s="58">
        <v>2</v>
      </c>
      <c r="F152" s="55" t="s">
        <v>624</v>
      </c>
      <c r="G152" s="53"/>
      <c r="H152" s="53"/>
      <c r="I152" s="53"/>
    </row>
    <row r="153" spans="1:9" x14ac:dyDescent="0.3">
      <c r="A153" s="55">
        <v>150</v>
      </c>
      <c r="B153" s="25" t="s">
        <v>308</v>
      </c>
      <c r="C153" s="5" t="s">
        <v>77</v>
      </c>
      <c r="D153" s="62"/>
      <c r="E153" s="58">
        <v>2</v>
      </c>
      <c r="F153" s="55" t="s">
        <v>624</v>
      </c>
      <c r="G153" s="53"/>
      <c r="H153" s="53"/>
      <c r="I153" s="53"/>
    </row>
    <row r="154" spans="1:9" x14ac:dyDescent="0.3">
      <c r="A154" s="55">
        <v>151</v>
      </c>
      <c r="B154" s="25" t="s">
        <v>309</v>
      </c>
      <c r="C154" s="5" t="s">
        <v>77</v>
      </c>
      <c r="D154" s="62"/>
      <c r="E154" s="58">
        <v>2</v>
      </c>
      <c r="F154" s="55" t="s">
        <v>624</v>
      </c>
      <c r="G154" s="53"/>
      <c r="H154" s="53"/>
      <c r="I154" s="53"/>
    </row>
    <row r="155" spans="1:9" x14ac:dyDescent="0.3">
      <c r="A155" s="55">
        <v>152</v>
      </c>
      <c r="B155" s="25" t="s">
        <v>310</v>
      </c>
      <c r="C155" s="5" t="s">
        <v>77</v>
      </c>
      <c r="D155" s="62"/>
      <c r="E155" s="58">
        <v>2</v>
      </c>
      <c r="F155" s="55" t="s">
        <v>624</v>
      </c>
      <c r="G155" s="53"/>
      <c r="H155" s="53"/>
      <c r="I155" s="53"/>
    </row>
    <row r="156" spans="1:9" x14ac:dyDescent="0.3">
      <c r="A156" s="55">
        <v>153</v>
      </c>
      <c r="B156" s="25" t="s">
        <v>311</v>
      </c>
      <c r="C156" s="5" t="s">
        <v>77</v>
      </c>
      <c r="D156" s="62"/>
      <c r="E156" s="58">
        <v>2</v>
      </c>
      <c r="F156" s="55" t="s">
        <v>624</v>
      </c>
      <c r="G156" s="53"/>
      <c r="H156" s="53"/>
      <c r="I156" s="53"/>
    </row>
    <row r="157" spans="1:9" x14ac:dyDescent="0.3">
      <c r="A157" s="55">
        <v>154</v>
      </c>
      <c r="B157" s="25" t="s">
        <v>312</v>
      </c>
      <c r="C157" s="5" t="s">
        <v>77</v>
      </c>
      <c r="D157" s="62"/>
      <c r="E157" s="58">
        <v>2</v>
      </c>
      <c r="F157" s="55" t="s">
        <v>624</v>
      </c>
      <c r="G157" s="53"/>
      <c r="H157" s="53"/>
      <c r="I157" s="53"/>
    </row>
    <row r="158" spans="1:9" x14ac:dyDescent="0.3">
      <c r="A158" s="55">
        <v>155</v>
      </c>
      <c r="B158" s="25" t="s">
        <v>313</v>
      </c>
      <c r="C158" s="5" t="s">
        <v>77</v>
      </c>
      <c r="D158" s="62"/>
      <c r="E158" s="58">
        <v>2</v>
      </c>
      <c r="F158" s="55" t="s">
        <v>624</v>
      </c>
      <c r="G158" s="53"/>
      <c r="H158" s="53"/>
      <c r="I158" s="53"/>
    </row>
    <row r="159" spans="1:9" x14ac:dyDescent="0.3">
      <c r="A159" s="55">
        <v>156</v>
      </c>
      <c r="B159" s="25" t="s">
        <v>314</v>
      </c>
      <c r="C159" s="5" t="s">
        <v>77</v>
      </c>
      <c r="D159" s="62"/>
      <c r="E159" s="58">
        <v>2</v>
      </c>
      <c r="F159" s="55" t="s">
        <v>624</v>
      </c>
      <c r="G159" s="53"/>
      <c r="H159" s="53"/>
      <c r="I159" s="53"/>
    </row>
    <row r="160" spans="1:9" x14ac:dyDescent="0.3">
      <c r="A160" s="55">
        <v>157</v>
      </c>
      <c r="B160" s="25" t="s">
        <v>315</v>
      </c>
      <c r="C160" s="5" t="s">
        <v>77</v>
      </c>
      <c r="D160" s="62"/>
      <c r="E160" s="58">
        <v>2</v>
      </c>
      <c r="F160" s="55" t="s">
        <v>624</v>
      </c>
      <c r="G160" s="53"/>
      <c r="H160" s="53"/>
      <c r="I160" s="53"/>
    </row>
    <row r="161" spans="1:9" x14ac:dyDescent="0.3">
      <c r="A161" s="55">
        <v>158</v>
      </c>
      <c r="B161" s="25" t="s">
        <v>316</v>
      </c>
      <c r="C161" s="5" t="s">
        <v>77</v>
      </c>
      <c r="D161" s="62"/>
      <c r="E161" s="58">
        <v>2</v>
      </c>
      <c r="F161" s="55" t="s">
        <v>624</v>
      </c>
      <c r="G161" s="53"/>
      <c r="H161" s="53"/>
      <c r="I161" s="53"/>
    </row>
    <row r="162" spans="1:9" x14ac:dyDescent="0.3">
      <c r="A162" s="55">
        <v>159</v>
      </c>
      <c r="B162" s="25" t="s">
        <v>317</v>
      </c>
      <c r="C162" s="5" t="s">
        <v>77</v>
      </c>
      <c r="D162" s="62"/>
      <c r="E162" s="58">
        <v>2</v>
      </c>
      <c r="F162" s="55" t="s">
        <v>624</v>
      </c>
      <c r="G162" s="53"/>
      <c r="H162" s="53"/>
      <c r="I162" s="53"/>
    </row>
    <row r="163" spans="1:9" x14ac:dyDescent="0.3">
      <c r="A163" s="55">
        <v>160</v>
      </c>
      <c r="B163" s="25" t="s">
        <v>318</v>
      </c>
      <c r="C163" s="5" t="s">
        <v>77</v>
      </c>
      <c r="D163" s="62"/>
      <c r="E163" s="58">
        <v>2</v>
      </c>
      <c r="F163" s="55" t="s">
        <v>624</v>
      </c>
      <c r="G163" s="53"/>
      <c r="H163" s="53"/>
      <c r="I163" s="53"/>
    </row>
    <row r="164" spans="1:9" x14ac:dyDescent="0.3">
      <c r="A164" s="55">
        <v>161</v>
      </c>
      <c r="B164" s="25" t="s">
        <v>319</v>
      </c>
      <c r="C164" s="5" t="s">
        <v>77</v>
      </c>
      <c r="D164" s="62"/>
      <c r="E164" s="58">
        <v>2</v>
      </c>
      <c r="F164" s="55" t="s">
        <v>624</v>
      </c>
      <c r="G164" s="53"/>
      <c r="H164" s="53"/>
      <c r="I164" s="53"/>
    </row>
    <row r="165" spans="1:9" x14ac:dyDescent="0.3">
      <c r="A165" s="55">
        <v>162</v>
      </c>
      <c r="B165" s="25" t="s">
        <v>320</v>
      </c>
      <c r="C165" s="5" t="s">
        <v>77</v>
      </c>
      <c r="D165" s="62"/>
      <c r="E165" s="58">
        <v>2</v>
      </c>
      <c r="F165" s="55" t="s">
        <v>624</v>
      </c>
      <c r="G165" s="53"/>
      <c r="H165" s="53"/>
      <c r="I165" s="53"/>
    </row>
    <row r="166" spans="1:9" x14ac:dyDescent="0.3">
      <c r="A166" s="55">
        <v>163</v>
      </c>
      <c r="B166" s="25" t="s">
        <v>321</v>
      </c>
      <c r="C166" s="5" t="s">
        <v>77</v>
      </c>
      <c r="D166" s="62"/>
      <c r="E166" s="58">
        <v>2</v>
      </c>
      <c r="F166" s="55" t="s">
        <v>624</v>
      </c>
      <c r="G166" s="53"/>
      <c r="H166" s="53"/>
      <c r="I166" s="53"/>
    </row>
    <row r="167" spans="1:9" x14ac:dyDescent="0.3">
      <c r="A167" s="55">
        <v>164</v>
      </c>
      <c r="B167" s="25" t="s">
        <v>322</v>
      </c>
      <c r="C167" s="5" t="s">
        <v>77</v>
      </c>
      <c r="D167" s="62"/>
      <c r="E167" s="58">
        <v>2</v>
      </c>
      <c r="F167" s="55" t="s">
        <v>624</v>
      </c>
      <c r="G167" s="53"/>
      <c r="H167" s="53"/>
      <c r="I167" s="53"/>
    </row>
    <row r="168" spans="1:9" x14ac:dyDescent="0.3">
      <c r="A168" s="55">
        <v>165</v>
      </c>
      <c r="B168" s="25" t="s">
        <v>323</v>
      </c>
      <c r="C168" s="5" t="s">
        <v>77</v>
      </c>
      <c r="D168" s="62"/>
      <c r="E168" s="58">
        <v>2</v>
      </c>
      <c r="F168" s="55" t="s">
        <v>624</v>
      </c>
      <c r="G168" s="53"/>
      <c r="H168" s="53"/>
      <c r="I168" s="53"/>
    </row>
    <row r="169" spans="1:9" x14ac:dyDescent="0.3">
      <c r="A169" s="55">
        <v>166</v>
      </c>
      <c r="B169" s="25" t="s">
        <v>324</v>
      </c>
      <c r="C169" s="5" t="s">
        <v>77</v>
      </c>
      <c r="D169" s="62"/>
      <c r="E169" s="58">
        <v>2</v>
      </c>
      <c r="F169" s="55" t="s">
        <v>624</v>
      </c>
      <c r="G169" s="53"/>
      <c r="H169" s="53"/>
      <c r="I169" s="53"/>
    </row>
    <row r="170" spans="1:9" x14ac:dyDescent="0.3">
      <c r="A170" s="55">
        <v>167</v>
      </c>
      <c r="B170" s="25" t="s">
        <v>325</v>
      </c>
      <c r="C170" s="5" t="s">
        <v>77</v>
      </c>
      <c r="D170" s="62"/>
      <c r="E170" s="58">
        <v>2</v>
      </c>
      <c r="F170" s="55" t="s">
        <v>624</v>
      </c>
      <c r="G170" s="53"/>
      <c r="H170" s="53"/>
      <c r="I170" s="53"/>
    </row>
    <row r="171" spans="1:9" x14ac:dyDescent="0.3">
      <c r="A171" s="55">
        <v>168</v>
      </c>
      <c r="B171" s="25" t="s">
        <v>326</v>
      </c>
      <c r="C171" s="5" t="s">
        <v>77</v>
      </c>
      <c r="D171" s="62"/>
      <c r="E171" s="58">
        <v>2</v>
      </c>
      <c r="F171" s="55" t="s">
        <v>624</v>
      </c>
      <c r="G171" s="53"/>
      <c r="H171" s="53"/>
      <c r="I171" s="53"/>
    </row>
    <row r="172" spans="1:9" x14ac:dyDescent="0.3">
      <c r="A172" s="55">
        <v>169</v>
      </c>
      <c r="B172" s="25" t="s">
        <v>327</v>
      </c>
      <c r="C172" s="5" t="s">
        <v>77</v>
      </c>
      <c r="D172" s="62"/>
      <c r="E172" s="58">
        <v>2</v>
      </c>
      <c r="F172" s="55" t="s">
        <v>624</v>
      </c>
      <c r="G172" s="53"/>
      <c r="H172" s="53"/>
      <c r="I172" s="53"/>
    </row>
    <row r="173" spans="1:9" x14ac:dyDescent="0.3">
      <c r="A173" s="55">
        <v>170</v>
      </c>
      <c r="B173" s="25" t="s">
        <v>328</v>
      </c>
      <c r="C173" s="5" t="s">
        <v>77</v>
      </c>
      <c r="D173" s="62"/>
      <c r="E173" s="58">
        <v>2</v>
      </c>
      <c r="F173" s="55" t="s">
        <v>624</v>
      </c>
      <c r="G173" s="53"/>
      <c r="H173" s="53"/>
      <c r="I173" s="53"/>
    </row>
    <row r="174" spans="1:9" x14ac:dyDescent="0.3">
      <c r="A174" s="55">
        <v>171</v>
      </c>
      <c r="B174" s="25" t="s">
        <v>329</v>
      </c>
      <c r="C174" s="5" t="s">
        <v>77</v>
      </c>
      <c r="D174" s="62"/>
      <c r="E174" s="58">
        <v>2</v>
      </c>
      <c r="F174" s="55" t="s">
        <v>624</v>
      </c>
      <c r="G174" s="53"/>
      <c r="H174" s="53"/>
      <c r="I174" s="53"/>
    </row>
    <row r="175" spans="1:9" x14ac:dyDescent="0.3">
      <c r="A175" s="55">
        <v>172</v>
      </c>
      <c r="B175" s="25" t="s">
        <v>330</v>
      </c>
      <c r="C175" s="5" t="s">
        <v>77</v>
      </c>
      <c r="D175" s="62"/>
      <c r="E175" s="58">
        <v>2</v>
      </c>
      <c r="F175" s="55" t="s">
        <v>624</v>
      </c>
      <c r="G175" s="53"/>
      <c r="H175" s="53"/>
      <c r="I175" s="53"/>
    </row>
    <row r="176" spans="1:9" x14ac:dyDescent="0.3">
      <c r="A176" s="55">
        <v>173</v>
      </c>
      <c r="B176" s="25" t="s">
        <v>331</v>
      </c>
      <c r="C176" s="5" t="s">
        <v>77</v>
      </c>
      <c r="D176" s="62"/>
      <c r="E176" s="58">
        <v>2</v>
      </c>
      <c r="F176" s="55" t="s">
        <v>624</v>
      </c>
      <c r="G176" s="53"/>
      <c r="H176" s="53"/>
      <c r="I176" s="53"/>
    </row>
    <row r="177" spans="1:9" x14ac:dyDescent="0.3">
      <c r="A177" s="55">
        <v>174</v>
      </c>
      <c r="B177" s="25" t="s">
        <v>332</v>
      </c>
      <c r="C177" s="5" t="s">
        <v>77</v>
      </c>
      <c r="D177" s="62"/>
      <c r="E177" s="58">
        <v>2</v>
      </c>
      <c r="F177" s="55" t="s">
        <v>624</v>
      </c>
      <c r="G177" s="53"/>
      <c r="H177" s="53"/>
      <c r="I177" s="53"/>
    </row>
    <row r="178" spans="1:9" x14ac:dyDescent="0.3">
      <c r="A178" s="55">
        <v>175</v>
      </c>
      <c r="B178" s="25" t="s">
        <v>333</v>
      </c>
      <c r="C178" s="5" t="s">
        <v>77</v>
      </c>
      <c r="D178" s="62"/>
      <c r="E178" s="58">
        <v>2</v>
      </c>
      <c r="F178" s="55" t="s">
        <v>624</v>
      </c>
      <c r="G178" s="53"/>
      <c r="H178" s="53"/>
      <c r="I178" s="53"/>
    </row>
    <row r="179" spans="1:9" x14ac:dyDescent="0.3">
      <c r="A179" s="55">
        <v>176</v>
      </c>
      <c r="B179" s="25" t="s">
        <v>334</v>
      </c>
      <c r="C179" s="5" t="s">
        <v>77</v>
      </c>
      <c r="D179" s="62"/>
      <c r="E179" s="58">
        <v>2</v>
      </c>
      <c r="F179" s="55" t="s">
        <v>624</v>
      </c>
      <c r="G179" s="53"/>
      <c r="H179" s="53"/>
      <c r="I179" s="53"/>
    </row>
    <row r="180" spans="1:9" x14ac:dyDescent="0.3">
      <c r="A180" s="55">
        <v>177</v>
      </c>
      <c r="B180" s="25" t="s">
        <v>335</v>
      </c>
      <c r="C180" s="5" t="s">
        <v>77</v>
      </c>
      <c r="D180" s="62"/>
      <c r="E180" s="58">
        <v>2</v>
      </c>
      <c r="F180" s="55" t="s">
        <v>624</v>
      </c>
      <c r="G180" s="53"/>
      <c r="H180" s="53"/>
      <c r="I180" s="53"/>
    </row>
    <row r="181" spans="1:9" x14ac:dyDescent="0.3">
      <c r="A181" s="55">
        <v>178</v>
      </c>
      <c r="B181" s="25" t="s">
        <v>336</v>
      </c>
      <c r="C181" s="5" t="s">
        <v>77</v>
      </c>
      <c r="D181" s="62"/>
      <c r="E181" s="58">
        <v>2</v>
      </c>
      <c r="F181" s="55" t="s">
        <v>624</v>
      </c>
      <c r="G181" s="53"/>
      <c r="H181" s="53"/>
      <c r="I181" s="53"/>
    </row>
    <row r="182" spans="1:9" x14ac:dyDescent="0.3">
      <c r="A182" s="55">
        <v>179</v>
      </c>
      <c r="B182" s="25" t="s">
        <v>337</v>
      </c>
      <c r="C182" s="5" t="s">
        <v>77</v>
      </c>
      <c r="D182" s="62"/>
      <c r="E182" s="58">
        <v>2</v>
      </c>
      <c r="F182" s="55" t="s">
        <v>624</v>
      </c>
      <c r="G182" s="53"/>
      <c r="H182" s="53"/>
      <c r="I182" s="53"/>
    </row>
    <row r="183" spans="1:9" x14ac:dyDescent="0.3">
      <c r="A183" s="55">
        <v>180</v>
      </c>
      <c r="B183" s="25" t="s">
        <v>338</v>
      </c>
      <c r="C183" s="5" t="s">
        <v>77</v>
      </c>
      <c r="D183" s="62"/>
      <c r="E183" s="58">
        <v>2</v>
      </c>
      <c r="F183" s="55" t="s">
        <v>624</v>
      </c>
      <c r="G183" s="53"/>
      <c r="H183" s="53"/>
      <c r="I183" s="53"/>
    </row>
    <row r="184" spans="1:9" x14ac:dyDescent="0.3">
      <c r="A184" s="55">
        <v>181</v>
      </c>
      <c r="B184" s="25" t="s">
        <v>339</v>
      </c>
      <c r="C184" s="5" t="s">
        <v>78</v>
      </c>
      <c r="D184" s="62"/>
      <c r="E184" s="58">
        <v>3</v>
      </c>
      <c r="F184" s="55" t="s">
        <v>624</v>
      </c>
      <c r="G184" s="53"/>
      <c r="H184" s="53"/>
      <c r="I184" s="53"/>
    </row>
    <row r="185" spans="1:9" x14ac:dyDescent="0.3">
      <c r="A185" s="55">
        <v>182</v>
      </c>
      <c r="B185" s="25" t="s">
        <v>340</v>
      </c>
      <c r="C185" s="5" t="s">
        <v>78</v>
      </c>
      <c r="D185" s="62"/>
      <c r="E185" s="58">
        <v>4</v>
      </c>
      <c r="F185" s="55" t="s">
        <v>624</v>
      </c>
      <c r="G185" s="53"/>
      <c r="H185" s="53"/>
      <c r="I185" s="53"/>
    </row>
    <row r="186" spans="1:9" x14ac:dyDescent="0.3">
      <c r="A186" s="55">
        <v>183</v>
      </c>
      <c r="B186" s="25" t="s">
        <v>341</v>
      </c>
      <c r="C186" s="5" t="s">
        <v>78</v>
      </c>
      <c r="D186" s="62"/>
      <c r="E186" s="58">
        <v>3</v>
      </c>
      <c r="F186" s="55" t="s">
        <v>624</v>
      </c>
      <c r="G186" s="53"/>
      <c r="H186" s="53"/>
      <c r="I186" s="53"/>
    </row>
    <row r="187" spans="1:9" x14ac:dyDescent="0.3">
      <c r="A187" s="55">
        <v>184</v>
      </c>
      <c r="B187" s="25" t="s">
        <v>342</v>
      </c>
      <c r="C187" s="5" t="s">
        <v>78</v>
      </c>
      <c r="D187" s="62"/>
      <c r="E187" s="58">
        <v>4</v>
      </c>
      <c r="F187" s="55" t="s">
        <v>624</v>
      </c>
      <c r="G187" s="53"/>
      <c r="H187" s="53"/>
      <c r="I187" s="53"/>
    </row>
    <row r="188" spans="1:9" x14ac:dyDescent="0.3">
      <c r="A188" s="55">
        <v>185</v>
      </c>
      <c r="B188" s="25" t="s">
        <v>343</v>
      </c>
      <c r="C188" s="5" t="s">
        <v>78</v>
      </c>
      <c r="D188" s="62"/>
      <c r="E188" s="58">
        <v>4</v>
      </c>
      <c r="F188" s="55" t="s">
        <v>624</v>
      </c>
      <c r="G188" s="53"/>
      <c r="H188" s="53"/>
      <c r="I188" s="53"/>
    </row>
    <row r="189" spans="1:9" x14ac:dyDescent="0.3">
      <c r="A189" s="55">
        <v>186</v>
      </c>
      <c r="B189" s="25" t="s">
        <v>344</v>
      </c>
      <c r="C189" s="5" t="s">
        <v>78</v>
      </c>
      <c r="D189" s="62"/>
      <c r="E189" s="58">
        <v>3</v>
      </c>
      <c r="F189" s="55" t="s">
        <v>624</v>
      </c>
      <c r="G189" s="53"/>
      <c r="H189" s="53"/>
      <c r="I189" s="53"/>
    </row>
    <row r="190" spans="1:9" x14ac:dyDescent="0.3">
      <c r="A190" s="55">
        <v>187</v>
      </c>
      <c r="B190" s="25" t="s">
        <v>345</v>
      </c>
      <c r="C190" s="5" t="s">
        <v>78</v>
      </c>
      <c r="D190" s="62"/>
      <c r="E190" s="58">
        <v>3</v>
      </c>
      <c r="F190" s="55" t="s">
        <v>624</v>
      </c>
      <c r="G190" s="53"/>
      <c r="H190" s="53"/>
      <c r="I190" s="53"/>
    </row>
    <row r="191" spans="1:9" x14ac:dyDescent="0.3">
      <c r="A191" s="55">
        <v>188</v>
      </c>
      <c r="B191" s="25" t="s">
        <v>346</v>
      </c>
      <c r="C191" s="5" t="s">
        <v>78</v>
      </c>
      <c r="D191" s="62"/>
      <c r="E191" s="58">
        <v>3</v>
      </c>
      <c r="F191" s="55" t="s">
        <v>624</v>
      </c>
      <c r="G191" s="53"/>
      <c r="H191" s="53"/>
      <c r="I191" s="53"/>
    </row>
    <row r="192" spans="1:9" x14ac:dyDescent="0.3">
      <c r="A192" s="55">
        <v>189</v>
      </c>
      <c r="B192" s="25" t="s">
        <v>347</v>
      </c>
      <c r="C192" s="5" t="s">
        <v>78</v>
      </c>
      <c r="D192" s="62"/>
      <c r="E192" s="58">
        <v>3</v>
      </c>
      <c r="F192" s="55" t="s">
        <v>624</v>
      </c>
      <c r="G192" s="53"/>
      <c r="H192" s="53"/>
      <c r="I192" s="53"/>
    </row>
    <row r="193" spans="1:9" x14ac:dyDescent="0.3">
      <c r="A193" s="55">
        <v>190</v>
      </c>
      <c r="B193" s="25" t="s">
        <v>348</v>
      </c>
      <c r="C193" s="5" t="s">
        <v>78</v>
      </c>
      <c r="D193" s="62"/>
      <c r="E193" s="58">
        <v>3</v>
      </c>
      <c r="F193" s="55" t="s">
        <v>624</v>
      </c>
      <c r="G193" s="53"/>
      <c r="H193" s="53"/>
      <c r="I193" s="53"/>
    </row>
    <row r="194" spans="1:9" x14ac:dyDescent="0.3">
      <c r="A194" s="55">
        <v>191</v>
      </c>
      <c r="B194" s="25" t="s">
        <v>349</v>
      </c>
      <c r="C194" s="5" t="s">
        <v>78</v>
      </c>
      <c r="D194" s="62"/>
      <c r="E194" s="58">
        <v>3</v>
      </c>
      <c r="F194" s="55" t="s">
        <v>624</v>
      </c>
      <c r="G194" s="53"/>
      <c r="H194" s="53"/>
      <c r="I194" s="53"/>
    </row>
    <row r="195" spans="1:9" x14ac:dyDescent="0.3">
      <c r="A195" s="55">
        <v>192</v>
      </c>
      <c r="B195" s="25" t="s">
        <v>350</v>
      </c>
      <c r="C195" s="5" t="s">
        <v>78</v>
      </c>
      <c r="D195" s="62"/>
      <c r="E195" s="58">
        <v>3</v>
      </c>
      <c r="F195" s="55" t="s">
        <v>624</v>
      </c>
      <c r="G195" s="53"/>
      <c r="H195" s="53"/>
      <c r="I195" s="53"/>
    </row>
    <row r="196" spans="1:9" x14ac:dyDescent="0.3">
      <c r="A196" s="55">
        <v>193</v>
      </c>
      <c r="B196" s="25" t="s">
        <v>351</v>
      </c>
      <c r="C196" s="5" t="s">
        <v>78</v>
      </c>
      <c r="D196" s="62"/>
      <c r="E196" s="58">
        <v>3</v>
      </c>
      <c r="F196" s="55" t="s">
        <v>624</v>
      </c>
      <c r="G196" s="53"/>
      <c r="H196" s="53"/>
      <c r="I196" s="53"/>
    </row>
    <row r="197" spans="1:9" x14ac:dyDescent="0.3">
      <c r="A197" s="55">
        <v>194</v>
      </c>
      <c r="B197" s="25" t="s">
        <v>352</v>
      </c>
      <c r="C197" s="5" t="s">
        <v>78</v>
      </c>
      <c r="D197" s="62"/>
      <c r="E197" s="58">
        <v>3</v>
      </c>
      <c r="F197" s="55" t="s">
        <v>624</v>
      </c>
      <c r="G197" s="53"/>
      <c r="H197" s="53"/>
      <c r="I197" s="53"/>
    </row>
    <row r="198" spans="1:9" x14ac:dyDescent="0.3">
      <c r="A198" s="55">
        <v>195</v>
      </c>
      <c r="B198" s="25" t="s">
        <v>353</v>
      </c>
      <c r="C198" s="5" t="s">
        <v>78</v>
      </c>
      <c r="D198" s="62"/>
      <c r="E198" s="58">
        <v>3</v>
      </c>
      <c r="F198" s="55" t="s">
        <v>624</v>
      </c>
      <c r="G198" s="53"/>
      <c r="H198" s="53"/>
      <c r="I198" s="53"/>
    </row>
    <row r="199" spans="1:9" x14ac:dyDescent="0.3">
      <c r="A199" s="55">
        <v>196</v>
      </c>
      <c r="B199" s="25" t="s">
        <v>354</v>
      </c>
      <c r="C199" s="5" t="s">
        <v>78</v>
      </c>
      <c r="D199" s="62"/>
      <c r="E199" s="58">
        <v>3</v>
      </c>
      <c r="F199" s="55" t="s">
        <v>624</v>
      </c>
      <c r="G199" s="53"/>
      <c r="H199" s="53"/>
      <c r="I199" s="53"/>
    </row>
    <row r="200" spans="1:9" x14ac:dyDescent="0.3">
      <c r="A200" s="55">
        <v>197</v>
      </c>
      <c r="B200" s="25" t="s">
        <v>355</v>
      </c>
      <c r="C200" s="5" t="s">
        <v>78</v>
      </c>
      <c r="D200" s="62"/>
      <c r="E200" s="58">
        <v>3</v>
      </c>
      <c r="F200" s="55" t="s">
        <v>624</v>
      </c>
      <c r="G200" s="53"/>
      <c r="H200" s="53"/>
      <c r="I200" s="53"/>
    </row>
    <row r="201" spans="1:9" x14ac:dyDescent="0.3">
      <c r="A201" s="55">
        <v>198</v>
      </c>
      <c r="B201" s="25" t="s">
        <v>356</v>
      </c>
      <c r="C201" s="5" t="s">
        <v>78</v>
      </c>
      <c r="D201" s="62"/>
      <c r="E201" s="58">
        <v>3</v>
      </c>
      <c r="F201" s="55" t="s">
        <v>624</v>
      </c>
      <c r="G201" s="53"/>
      <c r="H201" s="53"/>
      <c r="I201" s="53"/>
    </row>
    <row r="202" spans="1:9" x14ac:dyDescent="0.3">
      <c r="A202" s="55">
        <v>199</v>
      </c>
      <c r="B202" s="25" t="s">
        <v>357</v>
      </c>
      <c r="C202" s="5" t="s">
        <v>78</v>
      </c>
      <c r="D202" s="62"/>
      <c r="E202" s="58">
        <v>3</v>
      </c>
      <c r="F202" s="55" t="s">
        <v>624</v>
      </c>
      <c r="G202" s="53"/>
      <c r="H202" s="53"/>
      <c r="I202" s="53"/>
    </row>
    <row r="203" spans="1:9" x14ac:dyDescent="0.3">
      <c r="A203" s="55">
        <v>200</v>
      </c>
      <c r="B203" s="25" t="s">
        <v>358</v>
      </c>
      <c r="C203" s="5" t="s">
        <v>78</v>
      </c>
      <c r="D203" s="62"/>
      <c r="E203" s="58">
        <v>3</v>
      </c>
      <c r="F203" s="55" t="s">
        <v>624</v>
      </c>
      <c r="G203" s="53"/>
      <c r="H203" s="53"/>
      <c r="I203" s="53"/>
    </row>
    <row r="204" spans="1:9" x14ac:dyDescent="0.3">
      <c r="A204" s="55">
        <v>201</v>
      </c>
      <c r="B204" s="25" t="s">
        <v>359</v>
      </c>
      <c r="C204" s="5" t="s">
        <v>78</v>
      </c>
      <c r="D204" s="62"/>
      <c r="E204" s="58">
        <v>3</v>
      </c>
      <c r="F204" s="55" t="s">
        <v>624</v>
      </c>
      <c r="G204" s="53"/>
      <c r="H204" s="53"/>
      <c r="I204" s="53"/>
    </row>
    <row r="205" spans="1:9" x14ac:dyDescent="0.3">
      <c r="A205" s="55">
        <v>202</v>
      </c>
      <c r="B205" s="25" t="s">
        <v>360</v>
      </c>
      <c r="C205" s="5" t="s">
        <v>78</v>
      </c>
      <c r="D205" s="62"/>
      <c r="E205" s="58">
        <v>3</v>
      </c>
      <c r="F205" s="55" t="s">
        <v>624</v>
      </c>
      <c r="G205" s="53"/>
      <c r="H205" s="53"/>
      <c r="I205" s="53"/>
    </row>
    <row r="206" spans="1:9" x14ac:dyDescent="0.3">
      <c r="A206" s="55">
        <v>203</v>
      </c>
      <c r="B206" s="25" t="s">
        <v>361</v>
      </c>
      <c r="C206" s="5" t="s">
        <v>78</v>
      </c>
      <c r="D206" s="62"/>
      <c r="E206" s="58">
        <v>3</v>
      </c>
      <c r="F206" s="55" t="s">
        <v>624</v>
      </c>
      <c r="G206" s="53"/>
      <c r="H206" s="53"/>
      <c r="I206" s="53"/>
    </row>
    <row r="207" spans="1:9" x14ac:dyDescent="0.3">
      <c r="A207" s="55">
        <v>204</v>
      </c>
      <c r="B207" s="25" t="s">
        <v>362</v>
      </c>
      <c r="C207" s="5" t="s">
        <v>78</v>
      </c>
      <c r="D207" s="62"/>
      <c r="E207" s="58">
        <v>3</v>
      </c>
      <c r="F207" s="55" t="s">
        <v>624</v>
      </c>
      <c r="G207" s="53"/>
      <c r="H207" s="53"/>
      <c r="I207" s="53"/>
    </row>
    <row r="208" spans="1:9" x14ac:dyDescent="0.3">
      <c r="A208" s="55">
        <v>205</v>
      </c>
      <c r="B208" s="25" t="s">
        <v>363</v>
      </c>
      <c r="C208" s="5" t="s">
        <v>78</v>
      </c>
      <c r="D208" s="62"/>
      <c r="E208" s="58">
        <v>3</v>
      </c>
      <c r="F208" s="55" t="s">
        <v>624</v>
      </c>
      <c r="G208" s="53"/>
      <c r="H208" s="53"/>
      <c r="I208" s="53"/>
    </row>
    <row r="209" spans="1:9" x14ac:dyDescent="0.3">
      <c r="A209" s="55">
        <v>206</v>
      </c>
      <c r="B209" s="25" t="s">
        <v>364</v>
      </c>
      <c r="C209" s="5" t="s">
        <v>78</v>
      </c>
      <c r="D209" s="62"/>
      <c r="E209" s="58">
        <v>3</v>
      </c>
      <c r="F209" s="55" t="s">
        <v>624</v>
      </c>
      <c r="G209" s="53"/>
      <c r="H209" s="53"/>
      <c r="I209" s="53"/>
    </row>
    <row r="210" spans="1:9" x14ac:dyDescent="0.3">
      <c r="A210" s="55">
        <v>207</v>
      </c>
      <c r="B210" s="25" t="s">
        <v>365</v>
      </c>
      <c r="C210" s="5" t="s">
        <v>78</v>
      </c>
      <c r="D210" s="62"/>
      <c r="E210" s="58">
        <v>3</v>
      </c>
      <c r="F210" s="55" t="s">
        <v>624</v>
      </c>
      <c r="G210" s="53"/>
      <c r="H210" s="53"/>
      <c r="I210" s="53"/>
    </row>
    <row r="211" spans="1:9" x14ac:dyDescent="0.3">
      <c r="A211" s="55">
        <v>208</v>
      </c>
      <c r="B211" s="25" t="s">
        <v>366</v>
      </c>
      <c r="C211" s="5" t="s">
        <v>78</v>
      </c>
      <c r="D211" s="62"/>
      <c r="E211" s="58">
        <v>2</v>
      </c>
      <c r="F211" s="55" t="s">
        <v>624</v>
      </c>
      <c r="G211" s="53"/>
      <c r="H211" s="53"/>
      <c r="I211" s="53"/>
    </row>
    <row r="212" spans="1:9" x14ac:dyDescent="0.3">
      <c r="A212" s="55">
        <v>209</v>
      </c>
      <c r="B212" s="25" t="s">
        <v>367</v>
      </c>
      <c r="C212" s="5" t="s">
        <v>78</v>
      </c>
      <c r="D212" s="62"/>
      <c r="E212" s="58">
        <v>3</v>
      </c>
      <c r="F212" s="55" t="s">
        <v>624</v>
      </c>
      <c r="G212" s="53"/>
      <c r="H212" s="53"/>
      <c r="I212" s="53"/>
    </row>
    <row r="213" spans="1:9" x14ac:dyDescent="0.3">
      <c r="A213" s="55">
        <v>210</v>
      </c>
      <c r="B213" s="25" t="s">
        <v>368</v>
      </c>
      <c r="C213" s="5" t="s">
        <v>78</v>
      </c>
      <c r="D213" s="62"/>
      <c r="E213" s="58">
        <v>3</v>
      </c>
      <c r="F213" s="55" t="s">
        <v>624</v>
      </c>
      <c r="G213" s="53"/>
      <c r="H213" s="53"/>
      <c r="I213" s="53"/>
    </row>
    <row r="214" spans="1:9" x14ac:dyDescent="0.3">
      <c r="A214" s="55">
        <v>211</v>
      </c>
      <c r="B214" s="25" t="s">
        <v>369</v>
      </c>
      <c r="C214" s="5" t="s">
        <v>78</v>
      </c>
      <c r="D214" s="62"/>
      <c r="E214" s="58">
        <v>3</v>
      </c>
      <c r="F214" s="55" t="s">
        <v>624</v>
      </c>
      <c r="G214" s="53"/>
      <c r="H214" s="53"/>
      <c r="I214" s="53"/>
    </row>
    <row r="215" spans="1:9" x14ac:dyDescent="0.3">
      <c r="A215" s="55">
        <v>212</v>
      </c>
      <c r="B215" s="25" t="s">
        <v>370</v>
      </c>
      <c r="C215" s="5" t="s">
        <v>78</v>
      </c>
      <c r="D215" s="62"/>
      <c r="E215" s="58">
        <v>3</v>
      </c>
      <c r="F215" s="55" t="s">
        <v>624</v>
      </c>
      <c r="G215" s="53"/>
      <c r="H215" s="53"/>
      <c r="I215" s="53"/>
    </row>
    <row r="216" spans="1:9" x14ac:dyDescent="0.3">
      <c r="A216" s="55">
        <v>213</v>
      </c>
      <c r="B216" s="25" t="s">
        <v>371</v>
      </c>
      <c r="C216" s="5" t="s">
        <v>78</v>
      </c>
      <c r="D216" s="62"/>
      <c r="E216" s="58">
        <v>3</v>
      </c>
      <c r="F216" s="55" t="s">
        <v>624</v>
      </c>
      <c r="G216" s="53"/>
      <c r="H216" s="53"/>
      <c r="I216" s="53"/>
    </row>
    <row r="217" spans="1:9" x14ac:dyDescent="0.3">
      <c r="A217" s="55">
        <v>214</v>
      </c>
      <c r="B217" s="25" t="s">
        <v>372</v>
      </c>
      <c r="C217" s="5" t="s">
        <v>78</v>
      </c>
      <c r="D217" s="62"/>
      <c r="E217" s="58">
        <v>3</v>
      </c>
      <c r="F217" s="55" t="s">
        <v>624</v>
      </c>
      <c r="G217" s="53"/>
      <c r="H217" s="53"/>
      <c r="I217" s="53"/>
    </row>
    <row r="218" spans="1:9" x14ac:dyDescent="0.3">
      <c r="A218" s="55">
        <v>215</v>
      </c>
      <c r="B218" s="25" t="s">
        <v>373</v>
      </c>
      <c r="C218" s="5" t="s">
        <v>78</v>
      </c>
      <c r="D218" s="62"/>
      <c r="E218" s="58">
        <v>3</v>
      </c>
      <c r="F218" s="55" t="s">
        <v>624</v>
      </c>
      <c r="G218" s="53"/>
      <c r="H218" s="53"/>
      <c r="I218" s="53"/>
    </row>
    <row r="219" spans="1:9" x14ac:dyDescent="0.3">
      <c r="A219" s="55">
        <v>216</v>
      </c>
      <c r="B219" s="25" t="s">
        <v>374</v>
      </c>
      <c r="C219" s="5" t="s">
        <v>78</v>
      </c>
      <c r="D219" s="62"/>
      <c r="E219" s="58">
        <v>3</v>
      </c>
      <c r="F219" s="55" t="s">
        <v>624</v>
      </c>
      <c r="G219" s="53"/>
      <c r="H219" s="53"/>
      <c r="I219" s="53"/>
    </row>
    <row r="220" spans="1:9" x14ac:dyDescent="0.3">
      <c r="A220" s="55">
        <v>217</v>
      </c>
      <c r="B220" s="25" t="s">
        <v>375</v>
      </c>
      <c r="C220" s="5" t="s">
        <v>78</v>
      </c>
      <c r="D220" s="62"/>
      <c r="E220" s="58">
        <v>3</v>
      </c>
      <c r="F220" s="55" t="s">
        <v>624</v>
      </c>
      <c r="G220" s="53"/>
      <c r="H220" s="53"/>
      <c r="I220" s="53"/>
    </row>
    <row r="221" spans="1:9" x14ac:dyDescent="0.3">
      <c r="A221" s="55">
        <v>218</v>
      </c>
      <c r="B221" s="25" t="s">
        <v>376</v>
      </c>
      <c r="C221" s="5" t="s">
        <v>78</v>
      </c>
      <c r="D221" s="62"/>
      <c r="E221" s="58">
        <v>3</v>
      </c>
      <c r="F221" s="55" t="s">
        <v>624</v>
      </c>
      <c r="G221" s="53"/>
      <c r="H221" s="53"/>
      <c r="I221" s="53"/>
    </row>
    <row r="222" spans="1:9" x14ac:dyDescent="0.3">
      <c r="A222" s="55">
        <v>219</v>
      </c>
      <c r="B222" s="25" t="s">
        <v>377</v>
      </c>
      <c r="C222" s="5" t="s">
        <v>78</v>
      </c>
      <c r="D222" s="62"/>
      <c r="E222" s="58">
        <v>3</v>
      </c>
      <c r="F222" s="55" t="s">
        <v>624</v>
      </c>
      <c r="G222" s="53"/>
      <c r="H222" s="53"/>
      <c r="I222" s="53"/>
    </row>
    <row r="223" spans="1:9" x14ac:dyDescent="0.3">
      <c r="A223" s="55">
        <v>220</v>
      </c>
      <c r="B223" s="25" t="s">
        <v>378</v>
      </c>
      <c r="C223" s="5" t="s">
        <v>78</v>
      </c>
      <c r="D223" s="62"/>
      <c r="E223" s="58">
        <v>3</v>
      </c>
      <c r="F223" s="55" t="s">
        <v>624</v>
      </c>
      <c r="G223" s="53"/>
      <c r="H223" s="53"/>
      <c r="I223" s="53"/>
    </row>
    <row r="224" spans="1:9" x14ac:dyDescent="0.3">
      <c r="A224" s="55">
        <v>221</v>
      </c>
      <c r="B224" s="25" t="s">
        <v>379</v>
      </c>
      <c r="C224" s="5" t="s">
        <v>31</v>
      </c>
      <c r="D224" s="62"/>
      <c r="E224" s="58">
        <v>3</v>
      </c>
      <c r="F224" s="55" t="s">
        <v>624</v>
      </c>
      <c r="G224" s="53"/>
      <c r="H224" s="53"/>
      <c r="I224" s="53"/>
    </row>
    <row r="225" spans="1:9" x14ac:dyDescent="0.3">
      <c r="A225" s="55">
        <v>222</v>
      </c>
      <c r="B225" s="25" t="s">
        <v>380</v>
      </c>
      <c r="C225" s="5" t="s">
        <v>31</v>
      </c>
      <c r="D225" s="62"/>
      <c r="E225" s="58">
        <v>3</v>
      </c>
      <c r="F225" s="55" t="s">
        <v>624</v>
      </c>
      <c r="G225" s="53"/>
      <c r="H225" s="53"/>
      <c r="I225" s="53"/>
    </row>
    <row r="226" spans="1:9" x14ac:dyDescent="0.3">
      <c r="A226" s="55">
        <v>223</v>
      </c>
      <c r="B226" s="25" t="s">
        <v>381</v>
      </c>
      <c r="C226" s="5" t="s">
        <v>31</v>
      </c>
      <c r="D226" s="62"/>
      <c r="E226" s="58">
        <v>3</v>
      </c>
      <c r="F226" s="55" t="s">
        <v>624</v>
      </c>
      <c r="G226" s="53"/>
      <c r="H226" s="53"/>
      <c r="I226" s="53"/>
    </row>
    <row r="227" spans="1:9" x14ac:dyDescent="0.3">
      <c r="A227" s="55">
        <v>224</v>
      </c>
      <c r="B227" s="25" t="s">
        <v>382</v>
      </c>
      <c r="C227" s="5" t="s">
        <v>31</v>
      </c>
      <c r="D227" s="62"/>
      <c r="E227" s="58">
        <v>3</v>
      </c>
      <c r="F227" s="55" t="s">
        <v>624</v>
      </c>
      <c r="G227" s="53"/>
      <c r="H227" s="53"/>
      <c r="I227" s="53"/>
    </row>
    <row r="228" spans="1:9" x14ac:dyDescent="0.3">
      <c r="A228" s="55">
        <v>225</v>
      </c>
      <c r="B228" s="25" t="s">
        <v>383</v>
      </c>
      <c r="C228" s="5" t="s">
        <v>31</v>
      </c>
      <c r="D228" s="62"/>
      <c r="E228" s="58">
        <v>3</v>
      </c>
      <c r="F228" s="55" t="s">
        <v>624</v>
      </c>
      <c r="G228" s="53"/>
      <c r="H228" s="53"/>
      <c r="I228" s="53"/>
    </row>
    <row r="229" spans="1:9" x14ac:dyDescent="0.3">
      <c r="A229" s="55">
        <v>226</v>
      </c>
      <c r="B229" s="25" t="s">
        <v>384</v>
      </c>
      <c r="C229" s="5" t="s">
        <v>31</v>
      </c>
      <c r="D229" s="62"/>
      <c r="E229" s="58">
        <v>3</v>
      </c>
      <c r="F229" s="55" t="s">
        <v>624</v>
      </c>
      <c r="G229" s="53"/>
      <c r="H229" s="53"/>
      <c r="I229" s="53"/>
    </row>
    <row r="230" spans="1:9" x14ac:dyDescent="0.3">
      <c r="A230" s="55">
        <v>227</v>
      </c>
      <c r="B230" s="25" t="s">
        <v>385</v>
      </c>
      <c r="C230" s="5" t="s">
        <v>31</v>
      </c>
      <c r="D230" s="62"/>
      <c r="E230" s="58">
        <v>3</v>
      </c>
      <c r="F230" s="55" t="s">
        <v>624</v>
      </c>
      <c r="G230" s="53"/>
      <c r="H230" s="53"/>
      <c r="I230" s="53"/>
    </row>
    <row r="231" spans="1:9" x14ac:dyDescent="0.3">
      <c r="A231" s="55">
        <v>228</v>
      </c>
      <c r="B231" s="25" t="s">
        <v>386</v>
      </c>
      <c r="C231" s="5" t="s">
        <v>31</v>
      </c>
      <c r="D231" s="62"/>
      <c r="E231" s="58">
        <v>3</v>
      </c>
      <c r="F231" s="55" t="s">
        <v>624</v>
      </c>
      <c r="G231" s="53"/>
      <c r="H231" s="53"/>
      <c r="I231" s="53"/>
    </row>
    <row r="232" spans="1:9" x14ac:dyDescent="0.3">
      <c r="A232" s="55">
        <v>229</v>
      </c>
      <c r="B232" s="25" t="s">
        <v>387</v>
      </c>
      <c r="C232" s="5" t="s">
        <v>31</v>
      </c>
      <c r="D232" s="62"/>
      <c r="E232" s="58">
        <v>3</v>
      </c>
      <c r="F232" s="55" t="s">
        <v>624</v>
      </c>
      <c r="G232" s="53"/>
      <c r="H232" s="53"/>
      <c r="I232" s="53"/>
    </row>
    <row r="233" spans="1:9" x14ac:dyDescent="0.3">
      <c r="A233" s="55">
        <v>230</v>
      </c>
      <c r="B233" s="25" t="s">
        <v>388</v>
      </c>
      <c r="C233" s="5" t="s">
        <v>31</v>
      </c>
      <c r="D233" s="62"/>
      <c r="E233" s="58">
        <v>3</v>
      </c>
      <c r="F233" s="55" t="s">
        <v>624</v>
      </c>
      <c r="G233" s="53"/>
      <c r="H233" s="53"/>
      <c r="I233" s="53"/>
    </row>
    <row r="234" spans="1:9" x14ac:dyDescent="0.3">
      <c r="A234" s="55">
        <v>231</v>
      </c>
      <c r="B234" s="25" t="s">
        <v>389</v>
      </c>
      <c r="C234" s="5" t="s">
        <v>32</v>
      </c>
      <c r="D234" s="62"/>
      <c r="E234" s="58">
        <v>3</v>
      </c>
      <c r="F234" s="55" t="s">
        <v>624</v>
      </c>
      <c r="G234" s="53"/>
      <c r="H234" s="53"/>
      <c r="I234" s="53"/>
    </row>
    <row r="235" spans="1:9" x14ac:dyDescent="0.3">
      <c r="A235" s="55">
        <v>232</v>
      </c>
      <c r="B235" s="25" t="s">
        <v>390</v>
      </c>
      <c r="C235" s="5" t="s">
        <v>32</v>
      </c>
      <c r="D235" s="62"/>
      <c r="E235" s="58">
        <v>3</v>
      </c>
      <c r="F235" s="55" t="s">
        <v>624</v>
      </c>
      <c r="G235" s="53"/>
      <c r="H235" s="53"/>
      <c r="I235" s="53"/>
    </row>
    <row r="236" spans="1:9" x14ac:dyDescent="0.3">
      <c r="A236" s="55">
        <v>233</v>
      </c>
      <c r="B236" s="25" t="s">
        <v>391</v>
      </c>
      <c r="C236" s="5" t="s">
        <v>32</v>
      </c>
      <c r="D236" s="62"/>
      <c r="E236" s="58">
        <v>3</v>
      </c>
      <c r="F236" s="55" t="s">
        <v>624</v>
      </c>
      <c r="G236" s="53"/>
      <c r="H236" s="53"/>
      <c r="I236" s="53"/>
    </row>
    <row r="237" spans="1:9" x14ac:dyDescent="0.3">
      <c r="A237" s="55">
        <v>234</v>
      </c>
      <c r="B237" s="25" t="s">
        <v>392</v>
      </c>
      <c r="C237" s="5" t="s">
        <v>32</v>
      </c>
      <c r="D237" s="62"/>
      <c r="E237" s="58">
        <v>3</v>
      </c>
      <c r="F237" s="55" t="s">
        <v>624</v>
      </c>
      <c r="G237" s="53"/>
      <c r="H237" s="53"/>
      <c r="I237" s="53"/>
    </row>
    <row r="238" spans="1:9" x14ac:dyDescent="0.3">
      <c r="A238" s="55">
        <v>235</v>
      </c>
      <c r="B238" s="25" t="s">
        <v>393</v>
      </c>
      <c r="C238" s="5" t="s">
        <v>32</v>
      </c>
      <c r="D238" s="62"/>
      <c r="E238" s="58">
        <v>3</v>
      </c>
      <c r="F238" s="55" t="s">
        <v>624</v>
      </c>
      <c r="G238" s="53"/>
      <c r="H238" s="53"/>
      <c r="I238" s="53"/>
    </row>
    <row r="239" spans="1:9" x14ac:dyDescent="0.3">
      <c r="A239" s="55">
        <v>236</v>
      </c>
      <c r="B239" s="25" t="s">
        <v>394</v>
      </c>
      <c r="C239" s="5" t="s">
        <v>32</v>
      </c>
      <c r="D239" s="62"/>
      <c r="E239" s="58">
        <v>3</v>
      </c>
      <c r="F239" s="55" t="s">
        <v>624</v>
      </c>
      <c r="G239" s="53"/>
      <c r="H239" s="53"/>
      <c r="I239" s="53"/>
    </row>
    <row r="240" spans="1:9" x14ac:dyDescent="0.3">
      <c r="A240" s="55">
        <v>237</v>
      </c>
      <c r="B240" s="25" t="s">
        <v>395</v>
      </c>
      <c r="C240" s="5" t="s">
        <v>32</v>
      </c>
      <c r="D240" s="62"/>
      <c r="E240" s="58">
        <v>3</v>
      </c>
      <c r="F240" s="55" t="s">
        <v>624</v>
      </c>
      <c r="G240" s="53"/>
      <c r="H240" s="53"/>
      <c r="I240" s="53"/>
    </row>
    <row r="241" spans="1:9" x14ac:dyDescent="0.3">
      <c r="A241" s="55">
        <v>238</v>
      </c>
      <c r="B241" s="25" t="s">
        <v>396</v>
      </c>
      <c r="C241" s="5" t="s">
        <v>32</v>
      </c>
      <c r="D241" s="62"/>
      <c r="E241" s="58">
        <v>3</v>
      </c>
      <c r="F241" s="55" t="s">
        <v>624</v>
      </c>
      <c r="G241" s="53"/>
      <c r="H241" s="53"/>
      <c r="I241" s="53"/>
    </row>
    <row r="242" spans="1:9" x14ac:dyDescent="0.3">
      <c r="A242" s="55">
        <v>239</v>
      </c>
      <c r="B242" s="25" t="s">
        <v>397</v>
      </c>
      <c r="C242" s="5" t="s">
        <v>32</v>
      </c>
      <c r="D242" s="62"/>
      <c r="E242" s="58">
        <v>3</v>
      </c>
      <c r="F242" s="55" t="s">
        <v>624</v>
      </c>
      <c r="G242" s="53"/>
      <c r="H242" s="53"/>
      <c r="I242" s="53"/>
    </row>
    <row r="243" spans="1:9" x14ac:dyDescent="0.3">
      <c r="A243" s="55">
        <v>240</v>
      </c>
      <c r="B243" s="25" t="s">
        <v>398</v>
      </c>
      <c r="C243" s="5" t="s">
        <v>32</v>
      </c>
      <c r="D243" s="62"/>
      <c r="E243" s="58">
        <v>3</v>
      </c>
      <c r="F243" s="55" t="s">
        <v>624</v>
      </c>
      <c r="G243" s="53"/>
      <c r="H243" s="53"/>
      <c r="I243" s="53"/>
    </row>
    <row r="244" spans="1:9" x14ac:dyDescent="0.3">
      <c r="A244" s="55">
        <v>241</v>
      </c>
      <c r="B244" s="25" t="s">
        <v>399</v>
      </c>
      <c r="C244" s="5" t="s">
        <v>33</v>
      </c>
      <c r="D244" s="62"/>
      <c r="E244" s="58">
        <v>3</v>
      </c>
      <c r="F244" s="55" t="s">
        <v>624</v>
      </c>
      <c r="G244" s="53"/>
      <c r="H244" s="53"/>
      <c r="I244" s="53"/>
    </row>
    <row r="245" spans="1:9" x14ac:dyDescent="0.3">
      <c r="A245" s="55">
        <v>242</v>
      </c>
      <c r="B245" s="25" t="s">
        <v>400</v>
      </c>
      <c r="C245" s="5" t="s">
        <v>33</v>
      </c>
      <c r="D245" s="62"/>
      <c r="E245" s="58">
        <v>3</v>
      </c>
      <c r="F245" s="55" t="s">
        <v>624</v>
      </c>
      <c r="G245" s="53"/>
      <c r="H245" s="53"/>
      <c r="I245" s="53"/>
    </row>
    <row r="246" spans="1:9" x14ac:dyDescent="0.3">
      <c r="A246" s="55">
        <v>243</v>
      </c>
      <c r="B246" s="25" t="s">
        <v>401</v>
      </c>
      <c r="C246" s="5" t="s">
        <v>33</v>
      </c>
      <c r="D246" s="62"/>
      <c r="E246" s="58">
        <v>3</v>
      </c>
      <c r="F246" s="55" t="s">
        <v>624</v>
      </c>
      <c r="G246" s="53"/>
      <c r="H246" s="53"/>
      <c r="I246" s="53"/>
    </row>
    <row r="247" spans="1:9" x14ac:dyDescent="0.3">
      <c r="A247" s="55">
        <v>244</v>
      </c>
      <c r="B247" s="25" t="s">
        <v>402</v>
      </c>
      <c r="C247" s="5" t="s">
        <v>33</v>
      </c>
      <c r="D247" s="62"/>
      <c r="E247" s="58">
        <v>3</v>
      </c>
      <c r="F247" s="55" t="s">
        <v>624</v>
      </c>
      <c r="G247" s="53"/>
      <c r="H247" s="53"/>
      <c r="I247" s="53"/>
    </row>
    <row r="248" spans="1:9" x14ac:dyDescent="0.3">
      <c r="A248" s="55">
        <v>245</v>
      </c>
      <c r="B248" s="25" t="s">
        <v>403</v>
      </c>
      <c r="C248" s="5" t="s">
        <v>33</v>
      </c>
      <c r="D248" s="62"/>
      <c r="E248" s="58">
        <v>3</v>
      </c>
      <c r="F248" s="55" t="s">
        <v>624</v>
      </c>
      <c r="G248" s="53"/>
      <c r="H248" s="53"/>
      <c r="I248" s="53"/>
    </row>
    <row r="249" spans="1:9" x14ac:dyDescent="0.3">
      <c r="A249" s="55">
        <v>246</v>
      </c>
      <c r="B249" s="25" t="s">
        <v>404</v>
      </c>
      <c r="C249" s="5" t="s">
        <v>33</v>
      </c>
      <c r="D249" s="62"/>
      <c r="E249" s="58">
        <v>3</v>
      </c>
      <c r="F249" s="55" t="s">
        <v>624</v>
      </c>
      <c r="G249" s="53"/>
      <c r="H249" s="53"/>
      <c r="I249" s="53"/>
    </row>
    <row r="250" spans="1:9" x14ac:dyDescent="0.3">
      <c r="A250" s="55">
        <v>247</v>
      </c>
      <c r="B250" s="25" t="s">
        <v>405</v>
      </c>
      <c r="C250" s="5" t="s">
        <v>33</v>
      </c>
      <c r="D250" s="62"/>
      <c r="E250" s="58">
        <v>3</v>
      </c>
      <c r="F250" s="55" t="s">
        <v>624</v>
      </c>
      <c r="G250" s="53"/>
      <c r="H250" s="53"/>
      <c r="I250" s="53"/>
    </row>
    <row r="251" spans="1:9" x14ac:dyDescent="0.3">
      <c r="A251" s="55">
        <v>248</v>
      </c>
      <c r="B251" s="25" t="s">
        <v>406</v>
      </c>
      <c r="C251" s="5" t="s">
        <v>33</v>
      </c>
      <c r="D251" s="62"/>
      <c r="E251" s="58">
        <v>3</v>
      </c>
      <c r="F251" s="55" t="s">
        <v>624</v>
      </c>
      <c r="G251" s="53"/>
      <c r="H251" s="53"/>
      <c r="I251" s="53"/>
    </row>
    <row r="252" spans="1:9" x14ac:dyDescent="0.3">
      <c r="A252" s="55">
        <v>249</v>
      </c>
      <c r="B252" s="25" t="s">
        <v>407</v>
      </c>
      <c r="C252" s="5" t="s">
        <v>33</v>
      </c>
      <c r="D252" s="62"/>
      <c r="E252" s="58">
        <v>3</v>
      </c>
      <c r="F252" s="55" t="s">
        <v>624</v>
      </c>
      <c r="G252" s="53"/>
      <c r="H252" s="53"/>
      <c r="I252" s="53"/>
    </row>
    <row r="253" spans="1:9" x14ac:dyDescent="0.3">
      <c r="A253" s="55">
        <v>250</v>
      </c>
      <c r="B253" s="25" t="s">
        <v>408</v>
      </c>
      <c r="C253" s="5" t="s">
        <v>33</v>
      </c>
      <c r="D253" s="62"/>
      <c r="E253" s="58">
        <v>3</v>
      </c>
      <c r="F253" s="55" t="s">
        <v>624</v>
      </c>
      <c r="G253" s="53"/>
      <c r="H253" s="53"/>
      <c r="I253" s="53"/>
    </row>
    <row r="254" spans="1:9" x14ac:dyDescent="0.3">
      <c r="A254" s="55">
        <v>251</v>
      </c>
      <c r="B254" s="25" t="s">
        <v>409</v>
      </c>
      <c r="C254" s="5" t="s">
        <v>34</v>
      </c>
      <c r="D254" s="62"/>
      <c r="E254" s="58">
        <v>3</v>
      </c>
      <c r="F254" s="55" t="s">
        <v>624</v>
      </c>
      <c r="G254" s="53"/>
      <c r="H254" s="53"/>
      <c r="I254" s="53"/>
    </row>
    <row r="255" spans="1:9" x14ac:dyDescent="0.3">
      <c r="A255" s="55">
        <v>252</v>
      </c>
      <c r="B255" s="25" t="s">
        <v>410</v>
      </c>
      <c r="C255" s="5" t="s">
        <v>34</v>
      </c>
      <c r="D255" s="62"/>
      <c r="E255" s="58">
        <v>3</v>
      </c>
      <c r="F255" s="55" t="s">
        <v>624</v>
      </c>
      <c r="G255" s="53"/>
      <c r="H255" s="53"/>
      <c r="I255" s="53"/>
    </row>
    <row r="256" spans="1:9" x14ac:dyDescent="0.3">
      <c r="A256" s="55">
        <v>253</v>
      </c>
      <c r="B256" s="25" t="s">
        <v>411</v>
      </c>
      <c r="C256" s="5" t="s">
        <v>34</v>
      </c>
      <c r="D256" s="62"/>
      <c r="E256" s="58">
        <v>3</v>
      </c>
      <c r="F256" s="55" t="s">
        <v>624</v>
      </c>
      <c r="G256" s="53"/>
      <c r="H256" s="53"/>
      <c r="I256" s="53"/>
    </row>
    <row r="257" spans="1:9" x14ac:dyDescent="0.3">
      <c r="A257" s="55">
        <v>254</v>
      </c>
      <c r="B257" s="25" t="s">
        <v>412</v>
      </c>
      <c r="C257" s="5" t="s">
        <v>34</v>
      </c>
      <c r="D257" s="62"/>
      <c r="E257" s="58">
        <v>3</v>
      </c>
      <c r="F257" s="55" t="s">
        <v>624</v>
      </c>
      <c r="G257" s="53"/>
      <c r="H257" s="53"/>
      <c r="I257" s="53"/>
    </row>
    <row r="258" spans="1:9" x14ac:dyDescent="0.3">
      <c r="A258" s="55">
        <v>255</v>
      </c>
      <c r="B258" s="25" t="s">
        <v>413</v>
      </c>
      <c r="C258" s="5" t="s">
        <v>34</v>
      </c>
      <c r="D258" s="62"/>
      <c r="E258" s="58">
        <v>3</v>
      </c>
      <c r="F258" s="55" t="s">
        <v>624</v>
      </c>
      <c r="G258" s="53"/>
      <c r="H258" s="53"/>
      <c r="I258" s="53"/>
    </row>
    <row r="259" spans="1:9" x14ac:dyDescent="0.3">
      <c r="A259" s="55">
        <v>256</v>
      </c>
      <c r="B259" s="25" t="s">
        <v>414</v>
      </c>
      <c r="C259" s="5" t="s">
        <v>34</v>
      </c>
      <c r="D259" s="62"/>
      <c r="E259" s="58">
        <v>3</v>
      </c>
      <c r="F259" s="55" t="s">
        <v>624</v>
      </c>
      <c r="G259" s="53"/>
      <c r="H259" s="53"/>
      <c r="I259" s="53"/>
    </row>
    <row r="260" spans="1:9" x14ac:dyDescent="0.3">
      <c r="A260" s="55">
        <v>257</v>
      </c>
      <c r="B260" s="25" t="s">
        <v>415</v>
      </c>
      <c r="C260" s="5" t="s">
        <v>34</v>
      </c>
      <c r="D260" s="62"/>
      <c r="E260" s="58">
        <v>3</v>
      </c>
      <c r="F260" s="55" t="s">
        <v>624</v>
      </c>
      <c r="G260" s="53"/>
      <c r="H260" s="53"/>
      <c r="I260" s="53"/>
    </row>
    <row r="261" spans="1:9" x14ac:dyDescent="0.3">
      <c r="A261" s="55">
        <v>258</v>
      </c>
      <c r="B261" s="25" t="s">
        <v>416</v>
      </c>
      <c r="C261" s="5" t="s">
        <v>34</v>
      </c>
      <c r="D261" s="62"/>
      <c r="E261" s="58">
        <v>3</v>
      </c>
      <c r="F261" s="55" t="s">
        <v>624</v>
      </c>
      <c r="G261" s="53"/>
      <c r="H261" s="53"/>
      <c r="I261" s="53"/>
    </row>
    <row r="262" spans="1:9" x14ac:dyDescent="0.3">
      <c r="A262" s="55">
        <v>259</v>
      </c>
      <c r="B262" s="25" t="s">
        <v>417</v>
      </c>
      <c r="C262" s="5" t="s">
        <v>34</v>
      </c>
      <c r="D262" s="62"/>
      <c r="E262" s="58">
        <v>3</v>
      </c>
      <c r="F262" s="55" t="s">
        <v>624</v>
      </c>
      <c r="G262" s="53"/>
      <c r="H262" s="53"/>
      <c r="I262" s="53"/>
    </row>
    <row r="263" spans="1:9" x14ac:dyDescent="0.3">
      <c r="A263" s="55">
        <v>260</v>
      </c>
      <c r="B263" s="25" t="s">
        <v>418</v>
      </c>
      <c r="C263" s="5" t="s">
        <v>34</v>
      </c>
      <c r="D263" s="62"/>
      <c r="E263" s="58">
        <v>3</v>
      </c>
      <c r="F263" s="55" t="s">
        <v>624</v>
      </c>
      <c r="G263" s="53"/>
      <c r="H263" s="53"/>
      <c r="I263" s="53"/>
    </row>
    <row r="264" spans="1:9" x14ac:dyDescent="0.3">
      <c r="A264" s="55">
        <v>261</v>
      </c>
      <c r="B264" s="25" t="s">
        <v>419</v>
      </c>
      <c r="C264" s="5" t="s">
        <v>35</v>
      </c>
      <c r="D264" s="62"/>
      <c r="E264" s="58">
        <v>3</v>
      </c>
      <c r="F264" s="55" t="s">
        <v>624</v>
      </c>
      <c r="G264" s="53"/>
      <c r="H264" s="53"/>
      <c r="I264" s="53"/>
    </row>
    <row r="265" spans="1:9" x14ac:dyDescent="0.3">
      <c r="A265" s="55">
        <v>262</v>
      </c>
      <c r="B265" s="25" t="s">
        <v>420</v>
      </c>
      <c r="C265" s="5" t="s">
        <v>35</v>
      </c>
      <c r="D265" s="62"/>
      <c r="E265" s="58">
        <v>3</v>
      </c>
      <c r="F265" s="55" t="s">
        <v>624</v>
      </c>
      <c r="G265" s="53"/>
      <c r="H265" s="53"/>
      <c r="I265" s="53"/>
    </row>
    <row r="266" spans="1:9" x14ac:dyDescent="0.3">
      <c r="A266" s="55">
        <v>263</v>
      </c>
      <c r="B266" s="25" t="s">
        <v>421</v>
      </c>
      <c r="C266" s="5" t="s">
        <v>35</v>
      </c>
      <c r="D266" s="62"/>
      <c r="E266" s="58">
        <v>3</v>
      </c>
      <c r="F266" s="55" t="s">
        <v>624</v>
      </c>
      <c r="G266" s="53"/>
      <c r="H266" s="53"/>
      <c r="I266" s="53"/>
    </row>
    <row r="267" spans="1:9" x14ac:dyDescent="0.3">
      <c r="A267" s="55">
        <v>264</v>
      </c>
      <c r="B267" s="25" t="s">
        <v>422</v>
      </c>
      <c r="C267" s="5" t="s">
        <v>35</v>
      </c>
      <c r="D267" s="62"/>
      <c r="E267" s="58">
        <v>3</v>
      </c>
      <c r="F267" s="55" t="s">
        <v>624</v>
      </c>
      <c r="G267" s="53"/>
      <c r="H267" s="53"/>
      <c r="I267" s="53"/>
    </row>
    <row r="268" spans="1:9" x14ac:dyDescent="0.3">
      <c r="A268" s="55">
        <v>265</v>
      </c>
      <c r="B268" s="25" t="s">
        <v>423</v>
      </c>
      <c r="C268" s="5" t="s">
        <v>35</v>
      </c>
      <c r="D268" s="62"/>
      <c r="E268" s="58">
        <v>3</v>
      </c>
      <c r="F268" s="55" t="s">
        <v>624</v>
      </c>
      <c r="G268" s="53"/>
      <c r="H268" s="53"/>
      <c r="I268" s="53"/>
    </row>
    <row r="269" spans="1:9" x14ac:dyDescent="0.3">
      <c r="A269" s="55">
        <v>266</v>
      </c>
      <c r="B269" s="25" t="s">
        <v>424</v>
      </c>
      <c r="C269" s="5" t="s">
        <v>35</v>
      </c>
      <c r="D269" s="62"/>
      <c r="E269" s="58">
        <v>3</v>
      </c>
      <c r="F269" s="55" t="s">
        <v>624</v>
      </c>
      <c r="G269" s="53"/>
      <c r="H269" s="53"/>
      <c r="I269" s="53"/>
    </row>
    <row r="270" spans="1:9" x14ac:dyDescent="0.3">
      <c r="A270" s="55">
        <v>267</v>
      </c>
      <c r="B270" s="25" t="s">
        <v>425</v>
      </c>
      <c r="C270" s="5" t="s">
        <v>35</v>
      </c>
      <c r="D270" s="62"/>
      <c r="E270" s="58">
        <v>3</v>
      </c>
      <c r="F270" s="55" t="s">
        <v>624</v>
      </c>
      <c r="G270" s="53"/>
      <c r="H270" s="53"/>
      <c r="I270" s="53"/>
    </row>
    <row r="271" spans="1:9" x14ac:dyDescent="0.3">
      <c r="A271" s="55">
        <v>268</v>
      </c>
      <c r="B271" s="25" t="s">
        <v>426</v>
      </c>
      <c r="C271" s="5" t="s">
        <v>35</v>
      </c>
      <c r="D271" s="62"/>
      <c r="E271" s="58">
        <v>3</v>
      </c>
      <c r="F271" s="55" t="s">
        <v>624</v>
      </c>
      <c r="G271" s="53"/>
      <c r="H271" s="53"/>
      <c r="I271" s="53"/>
    </row>
    <row r="272" spans="1:9" x14ac:dyDescent="0.3">
      <c r="A272" s="55">
        <v>269</v>
      </c>
      <c r="B272" s="25" t="s">
        <v>427</v>
      </c>
      <c r="C272" s="5" t="s">
        <v>35</v>
      </c>
      <c r="D272" s="62"/>
      <c r="E272" s="58">
        <v>3</v>
      </c>
      <c r="F272" s="55" t="s">
        <v>624</v>
      </c>
      <c r="G272" s="53"/>
      <c r="H272" s="53"/>
      <c r="I272" s="53"/>
    </row>
    <row r="273" spans="1:9" x14ac:dyDescent="0.3">
      <c r="A273" s="55">
        <v>270</v>
      </c>
      <c r="B273" s="25" t="s">
        <v>428</v>
      </c>
      <c r="C273" s="5" t="s">
        <v>35</v>
      </c>
      <c r="D273" s="62"/>
      <c r="E273" s="58">
        <v>3</v>
      </c>
      <c r="F273" s="55" t="s">
        <v>624</v>
      </c>
      <c r="G273" s="53"/>
      <c r="H273" s="53"/>
      <c r="I273" s="53"/>
    </row>
    <row r="274" spans="1:9" x14ac:dyDescent="0.3">
      <c r="A274" s="55">
        <v>271</v>
      </c>
      <c r="B274" s="25" t="s">
        <v>429</v>
      </c>
      <c r="C274" s="5" t="s">
        <v>36</v>
      </c>
      <c r="D274" s="62"/>
      <c r="E274" s="58">
        <v>3</v>
      </c>
      <c r="F274" s="55" t="s">
        <v>624</v>
      </c>
      <c r="G274" s="53"/>
      <c r="H274" s="53"/>
      <c r="I274" s="53"/>
    </row>
    <row r="275" spans="1:9" x14ac:dyDescent="0.3">
      <c r="A275" s="55">
        <v>272</v>
      </c>
      <c r="B275" s="25" t="s">
        <v>430</v>
      </c>
      <c r="C275" s="5" t="s">
        <v>36</v>
      </c>
      <c r="D275" s="62"/>
      <c r="E275" s="58">
        <v>3</v>
      </c>
      <c r="F275" s="55" t="s">
        <v>624</v>
      </c>
      <c r="G275" s="53"/>
      <c r="H275" s="53"/>
      <c r="I275" s="53"/>
    </row>
    <row r="276" spans="1:9" x14ac:dyDescent="0.3">
      <c r="A276" s="55">
        <v>273</v>
      </c>
      <c r="B276" s="25" t="s">
        <v>431</v>
      </c>
      <c r="C276" s="5" t="s">
        <v>36</v>
      </c>
      <c r="D276" s="62"/>
      <c r="E276" s="58">
        <v>3</v>
      </c>
      <c r="F276" s="55" t="s">
        <v>624</v>
      </c>
      <c r="G276" s="53"/>
      <c r="H276" s="53"/>
      <c r="I276" s="53"/>
    </row>
    <row r="277" spans="1:9" x14ac:dyDescent="0.3">
      <c r="A277" s="55">
        <v>274</v>
      </c>
      <c r="B277" s="25" t="s">
        <v>432</v>
      </c>
      <c r="C277" s="5" t="s">
        <v>36</v>
      </c>
      <c r="D277" s="62"/>
      <c r="E277" s="58">
        <v>3</v>
      </c>
      <c r="F277" s="55" t="s">
        <v>624</v>
      </c>
      <c r="G277" s="53"/>
      <c r="H277" s="53"/>
      <c r="I277" s="53"/>
    </row>
    <row r="278" spans="1:9" x14ac:dyDescent="0.3">
      <c r="A278" s="55">
        <v>275</v>
      </c>
      <c r="B278" s="25" t="s">
        <v>433</v>
      </c>
      <c r="C278" s="5" t="s">
        <v>36</v>
      </c>
      <c r="D278" s="62"/>
      <c r="E278" s="58">
        <v>3</v>
      </c>
      <c r="F278" s="55" t="s">
        <v>624</v>
      </c>
      <c r="G278" s="53"/>
      <c r="H278" s="53"/>
      <c r="I278" s="53"/>
    </row>
    <row r="279" spans="1:9" x14ac:dyDescent="0.3">
      <c r="A279" s="55">
        <v>276</v>
      </c>
      <c r="B279" s="25" t="s">
        <v>434</v>
      </c>
      <c r="C279" s="5" t="s">
        <v>36</v>
      </c>
      <c r="D279" s="62"/>
      <c r="E279" s="58">
        <v>3</v>
      </c>
      <c r="F279" s="55" t="s">
        <v>624</v>
      </c>
      <c r="G279" s="53"/>
      <c r="H279" s="53"/>
      <c r="I279" s="53"/>
    </row>
    <row r="280" spans="1:9" x14ac:dyDescent="0.3">
      <c r="A280" s="55">
        <v>277</v>
      </c>
      <c r="B280" s="25" t="s">
        <v>435</v>
      </c>
      <c r="C280" s="5" t="s">
        <v>36</v>
      </c>
      <c r="D280" s="62"/>
      <c r="E280" s="58">
        <v>3</v>
      </c>
      <c r="F280" s="55" t="s">
        <v>624</v>
      </c>
      <c r="G280" s="53"/>
      <c r="H280" s="53"/>
      <c r="I280" s="53"/>
    </row>
    <row r="281" spans="1:9" x14ac:dyDescent="0.3">
      <c r="A281" s="55">
        <v>278</v>
      </c>
      <c r="B281" s="25" t="s">
        <v>436</v>
      </c>
      <c r="C281" s="5" t="s">
        <v>36</v>
      </c>
      <c r="D281" s="62"/>
      <c r="E281" s="58">
        <v>3</v>
      </c>
      <c r="F281" s="55" t="s">
        <v>624</v>
      </c>
      <c r="G281" s="53"/>
      <c r="H281" s="53"/>
      <c r="I281" s="53"/>
    </row>
    <row r="282" spans="1:9" x14ac:dyDescent="0.3">
      <c r="A282" s="55">
        <v>279</v>
      </c>
      <c r="B282" s="25" t="s">
        <v>437</v>
      </c>
      <c r="C282" s="5" t="s">
        <v>36</v>
      </c>
      <c r="D282" s="62"/>
      <c r="E282" s="58">
        <v>3</v>
      </c>
      <c r="F282" s="55" t="s">
        <v>624</v>
      </c>
      <c r="G282" s="53"/>
      <c r="H282" s="53"/>
      <c r="I282" s="53"/>
    </row>
    <row r="283" spans="1:9" x14ac:dyDescent="0.3">
      <c r="A283" s="55">
        <v>280</v>
      </c>
      <c r="B283" s="25" t="s">
        <v>438</v>
      </c>
      <c r="C283" s="5" t="s">
        <v>36</v>
      </c>
      <c r="D283" s="62"/>
      <c r="E283" s="58">
        <v>3</v>
      </c>
      <c r="F283" s="55" t="s">
        <v>624</v>
      </c>
      <c r="G283" s="53"/>
      <c r="H283" s="53"/>
      <c r="I283" s="53"/>
    </row>
    <row r="284" spans="1:9" x14ac:dyDescent="0.3">
      <c r="A284" s="55">
        <v>281</v>
      </c>
      <c r="B284" s="25" t="s">
        <v>439</v>
      </c>
      <c r="C284" s="5" t="s">
        <v>37</v>
      </c>
      <c r="D284" s="62"/>
      <c r="E284" s="58">
        <v>3</v>
      </c>
      <c r="F284" s="55" t="s">
        <v>624</v>
      </c>
      <c r="G284" s="53"/>
      <c r="H284" s="53"/>
      <c r="I284" s="53"/>
    </row>
    <row r="285" spans="1:9" x14ac:dyDescent="0.3">
      <c r="A285" s="55">
        <v>282</v>
      </c>
      <c r="B285" s="25" t="s">
        <v>440</v>
      </c>
      <c r="C285" s="5" t="s">
        <v>37</v>
      </c>
      <c r="D285" s="62"/>
      <c r="E285" s="58">
        <v>3</v>
      </c>
      <c r="F285" s="55" t="s">
        <v>624</v>
      </c>
      <c r="G285" s="53"/>
      <c r="H285" s="53"/>
      <c r="I285" s="53"/>
    </row>
    <row r="286" spans="1:9" x14ac:dyDescent="0.3">
      <c r="A286" s="55">
        <v>283</v>
      </c>
      <c r="B286" s="25" t="s">
        <v>441</v>
      </c>
      <c r="C286" s="5" t="s">
        <v>37</v>
      </c>
      <c r="D286" s="62"/>
      <c r="E286" s="58">
        <v>3</v>
      </c>
      <c r="F286" s="55" t="s">
        <v>624</v>
      </c>
      <c r="G286" s="53"/>
      <c r="H286" s="53"/>
      <c r="I286" s="53"/>
    </row>
    <row r="287" spans="1:9" x14ac:dyDescent="0.3">
      <c r="A287" s="55">
        <v>284</v>
      </c>
      <c r="B287" s="25" t="s">
        <v>442</v>
      </c>
      <c r="C287" s="5" t="s">
        <v>37</v>
      </c>
      <c r="D287" s="62"/>
      <c r="E287" s="58">
        <v>3</v>
      </c>
      <c r="F287" s="55" t="s">
        <v>624</v>
      </c>
      <c r="G287" s="53"/>
      <c r="H287" s="53"/>
      <c r="I287" s="53"/>
    </row>
    <row r="288" spans="1:9" x14ac:dyDescent="0.3">
      <c r="A288" s="55">
        <v>285</v>
      </c>
      <c r="B288" s="25" t="s">
        <v>443</v>
      </c>
      <c r="C288" s="5" t="s">
        <v>37</v>
      </c>
      <c r="D288" s="62"/>
      <c r="E288" s="58">
        <v>3</v>
      </c>
      <c r="F288" s="55" t="s">
        <v>624</v>
      </c>
      <c r="G288" s="53"/>
      <c r="H288" s="53"/>
      <c r="I288" s="53"/>
    </row>
    <row r="289" spans="1:9" x14ac:dyDescent="0.3">
      <c r="A289" s="55">
        <v>286</v>
      </c>
      <c r="B289" s="25" t="s">
        <v>444</v>
      </c>
      <c r="C289" s="5" t="s">
        <v>37</v>
      </c>
      <c r="D289" s="62"/>
      <c r="E289" s="58">
        <v>3</v>
      </c>
      <c r="F289" s="55" t="s">
        <v>624</v>
      </c>
      <c r="G289" s="53"/>
      <c r="H289" s="53"/>
      <c r="I289" s="53"/>
    </row>
    <row r="290" spans="1:9" x14ac:dyDescent="0.3">
      <c r="A290" s="55">
        <v>287</v>
      </c>
      <c r="B290" s="25" t="s">
        <v>445</v>
      </c>
      <c r="C290" s="5" t="s">
        <v>37</v>
      </c>
      <c r="D290" s="62"/>
      <c r="E290" s="58">
        <v>3</v>
      </c>
      <c r="F290" s="55" t="s">
        <v>624</v>
      </c>
      <c r="G290" s="53"/>
      <c r="H290" s="53"/>
      <c r="I290" s="53"/>
    </row>
    <row r="291" spans="1:9" x14ac:dyDescent="0.3">
      <c r="A291" s="55">
        <v>288</v>
      </c>
      <c r="B291" s="25" t="s">
        <v>446</v>
      </c>
      <c r="C291" s="5" t="s">
        <v>37</v>
      </c>
      <c r="D291" s="62"/>
      <c r="E291" s="58">
        <v>3</v>
      </c>
      <c r="F291" s="55" t="s">
        <v>624</v>
      </c>
      <c r="G291" s="53"/>
      <c r="H291" s="53"/>
      <c r="I291" s="53"/>
    </row>
    <row r="292" spans="1:9" x14ac:dyDescent="0.3">
      <c r="A292" s="55">
        <v>289</v>
      </c>
      <c r="B292" s="25" t="s">
        <v>447</v>
      </c>
      <c r="C292" s="5" t="s">
        <v>37</v>
      </c>
      <c r="D292" s="62"/>
      <c r="E292" s="58">
        <v>3</v>
      </c>
      <c r="F292" s="55" t="s">
        <v>624</v>
      </c>
      <c r="G292" s="53"/>
      <c r="H292" s="53"/>
      <c r="I292" s="53"/>
    </row>
    <row r="293" spans="1:9" x14ac:dyDescent="0.3">
      <c r="A293" s="55">
        <v>290</v>
      </c>
      <c r="B293" s="25" t="s">
        <v>448</v>
      </c>
      <c r="C293" s="5" t="s">
        <v>37</v>
      </c>
      <c r="D293" s="62"/>
      <c r="E293" s="58">
        <v>3</v>
      </c>
      <c r="F293" s="55" t="s">
        <v>624</v>
      </c>
      <c r="G293" s="53"/>
      <c r="H293" s="53"/>
      <c r="I293" s="53"/>
    </row>
    <row r="294" spans="1:9" x14ac:dyDescent="0.3">
      <c r="A294" s="55">
        <v>291</v>
      </c>
      <c r="B294" s="25" t="s">
        <v>449</v>
      </c>
      <c r="C294" s="5" t="s">
        <v>38</v>
      </c>
      <c r="D294" s="62"/>
      <c r="E294" s="58">
        <v>3</v>
      </c>
      <c r="F294" s="55" t="s">
        <v>624</v>
      </c>
      <c r="G294" s="53"/>
      <c r="H294" s="53"/>
      <c r="I294" s="53"/>
    </row>
    <row r="295" spans="1:9" x14ac:dyDescent="0.3">
      <c r="A295" s="55">
        <v>292</v>
      </c>
      <c r="B295" s="25" t="s">
        <v>450</v>
      </c>
      <c r="C295" s="5" t="s">
        <v>38</v>
      </c>
      <c r="D295" s="62"/>
      <c r="E295" s="58">
        <v>3</v>
      </c>
      <c r="F295" s="55" t="s">
        <v>624</v>
      </c>
      <c r="G295" s="53"/>
      <c r="H295" s="53"/>
      <c r="I295" s="53"/>
    </row>
    <row r="296" spans="1:9" x14ac:dyDescent="0.3">
      <c r="A296" s="55">
        <v>293</v>
      </c>
      <c r="B296" s="25" t="s">
        <v>451</v>
      </c>
      <c r="C296" s="5" t="s">
        <v>38</v>
      </c>
      <c r="D296" s="62"/>
      <c r="E296" s="58">
        <v>3</v>
      </c>
      <c r="F296" s="55" t="s">
        <v>624</v>
      </c>
      <c r="G296" s="53"/>
      <c r="H296" s="53"/>
      <c r="I296" s="53"/>
    </row>
    <row r="297" spans="1:9" x14ac:dyDescent="0.3">
      <c r="A297" s="55">
        <v>294</v>
      </c>
      <c r="B297" s="25" t="s">
        <v>452</v>
      </c>
      <c r="C297" s="5" t="s">
        <v>38</v>
      </c>
      <c r="D297" s="62"/>
      <c r="E297" s="58">
        <v>3</v>
      </c>
      <c r="F297" s="55" t="s">
        <v>624</v>
      </c>
      <c r="G297" s="53"/>
      <c r="H297" s="53"/>
      <c r="I297" s="53"/>
    </row>
    <row r="298" spans="1:9" x14ac:dyDescent="0.3">
      <c r="A298" s="55">
        <v>295</v>
      </c>
      <c r="B298" s="25" t="s">
        <v>453</v>
      </c>
      <c r="C298" s="5" t="s">
        <v>38</v>
      </c>
      <c r="D298" s="62"/>
      <c r="E298" s="58">
        <v>3</v>
      </c>
      <c r="F298" s="55" t="s">
        <v>624</v>
      </c>
      <c r="G298" s="53"/>
      <c r="H298" s="53"/>
      <c r="I298" s="53"/>
    </row>
    <row r="299" spans="1:9" x14ac:dyDescent="0.3">
      <c r="A299" s="55">
        <v>296</v>
      </c>
      <c r="B299" s="25" t="s">
        <v>454</v>
      </c>
      <c r="C299" s="5" t="s">
        <v>38</v>
      </c>
      <c r="D299" s="62"/>
      <c r="E299" s="58">
        <v>3</v>
      </c>
      <c r="F299" s="55" t="s">
        <v>624</v>
      </c>
      <c r="G299" s="53"/>
      <c r="H299" s="53"/>
      <c r="I299" s="53"/>
    </row>
    <row r="300" spans="1:9" x14ac:dyDescent="0.3">
      <c r="A300" s="55">
        <v>297</v>
      </c>
      <c r="B300" s="25" t="s">
        <v>455</v>
      </c>
      <c r="C300" s="5" t="s">
        <v>38</v>
      </c>
      <c r="D300" s="62"/>
      <c r="E300" s="58">
        <v>3</v>
      </c>
      <c r="F300" s="55" t="s">
        <v>624</v>
      </c>
      <c r="G300" s="53"/>
      <c r="H300" s="53"/>
      <c r="I300" s="53"/>
    </row>
    <row r="301" spans="1:9" x14ac:dyDescent="0.3">
      <c r="A301" s="55">
        <v>298</v>
      </c>
      <c r="B301" s="25" t="s">
        <v>456</v>
      </c>
      <c r="C301" s="5" t="s">
        <v>38</v>
      </c>
      <c r="D301" s="62"/>
      <c r="E301" s="58">
        <v>3</v>
      </c>
      <c r="F301" s="55" t="s">
        <v>624</v>
      </c>
      <c r="G301" s="53"/>
      <c r="H301" s="53"/>
      <c r="I301" s="53"/>
    </row>
    <row r="302" spans="1:9" x14ac:dyDescent="0.3">
      <c r="A302" s="55">
        <v>299</v>
      </c>
      <c r="B302" s="25" t="s">
        <v>457</v>
      </c>
      <c r="C302" s="5" t="s">
        <v>38</v>
      </c>
      <c r="D302" s="62"/>
      <c r="E302" s="58">
        <v>3</v>
      </c>
      <c r="F302" s="55" t="s">
        <v>624</v>
      </c>
      <c r="G302" s="53"/>
      <c r="H302" s="53"/>
      <c r="I302" s="53"/>
    </row>
    <row r="303" spans="1:9" x14ac:dyDescent="0.3">
      <c r="A303" s="55">
        <v>300</v>
      </c>
      <c r="B303" s="25" t="s">
        <v>458</v>
      </c>
      <c r="C303" s="5" t="s">
        <v>38</v>
      </c>
      <c r="D303" s="62"/>
      <c r="E303" s="58">
        <v>3</v>
      </c>
      <c r="F303" s="55" t="s">
        <v>624</v>
      </c>
      <c r="G303" s="53"/>
      <c r="H303" s="53"/>
      <c r="I303" s="53"/>
    </row>
    <row r="304" spans="1:9" x14ac:dyDescent="0.3">
      <c r="A304" s="55">
        <v>301</v>
      </c>
      <c r="B304" s="20" t="s">
        <v>459</v>
      </c>
      <c r="C304" s="74" t="s">
        <v>40</v>
      </c>
      <c r="D304" s="62"/>
      <c r="E304" s="58">
        <v>1</v>
      </c>
      <c r="F304" s="55" t="s">
        <v>624</v>
      </c>
      <c r="G304" s="53"/>
      <c r="H304" s="53"/>
      <c r="I304" s="53"/>
    </row>
    <row r="305" spans="1:9" x14ac:dyDescent="0.3">
      <c r="A305" s="55">
        <v>302</v>
      </c>
      <c r="B305" s="26" t="s">
        <v>460</v>
      </c>
      <c r="C305" s="75" t="s">
        <v>40</v>
      </c>
      <c r="D305" s="62"/>
      <c r="E305" s="58">
        <v>1</v>
      </c>
      <c r="F305" s="55" t="s">
        <v>624</v>
      </c>
      <c r="G305" s="53"/>
      <c r="H305" s="53"/>
      <c r="I305" s="53"/>
    </row>
    <row r="306" spans="1:9" x14ac:dyDescent="0.3">
      <c r="A306" s="55">
        <v>303</v>
      </c>
      <c r="B306" s="26" t="s">
        <v>461</v>
      </c>
      <c r="C306" s="75" t="s">
        <v>40</v>
      </c>
      <c r="D306" s="62"/>
      <c r="E306" s="58">
        <v>1</v>
      </c>
      <c r="F306" s="55" t="s">
        <v>624</v>
      </c>
      <c r="G306" s="53"/>
      <c r="H306" s="53"/>
      <c r="I306" s="53"/>
    </row>
    <row r="307" spans="1:9" x14ac:dyDescent="0.3">
      <c r="A307" s="55">
        <v>304</v>
      </c>
      <c r="B307" s="26" t="s">
        <v>462</v>
      </c>
      <c r="C307" s="75" t="s">
        <v>40</v>
      </c>
      <c r="D307" s="62"/>
      <c r="E307" s="58">
        <v>1</v>
      </c>
      <c r="F307" s="55" t="s">
        <v>624</v>
      </c>
      <c r="G307" s="53"/>
      <c r="H307" s="53"/>
      <c r="I307" s="53"/>
    </row>
    <row r="308" spans="1:9" x14ac:dyDescent="0.3">
      <c r="A308" s="55">
        <v>305</v>
      </c>
      <c r="B308" s="26" t="s">
        <v>463</v>
      </c>
      <c r="C308" s="74" t="s">
        <v>41</v>
      </c>
      <c r="D308" s="62"/>
      <c r="E308" s="58">
        <v>1</v>
      </c>
      <c r="F308" s="55" t="s">
        <v>624</v>
      </c>
      <c r="G308" s="53"/>
      <c r="H308" s="53"/>
      <c r="I308" s="53"/>
    </row>
    <row r="309" spans="1:9" x14ac:dyDescent="0.3">
      <c r="A309" s="55">
        <v>306</v>
      </c>
      <c r="B309" s="26" t="s">
        <v>464</v>
      </c>
      <c r="C309" s="75" t="s">
        <v>41</v>
      </c>
      <c r="D309" s="62"/>
      <c r="E309" s="58">
        <v>1</v>
      </c>
      <c r="F309" s="55" t="s">
        <v>624</v>
      </c>
      <c r="G309" s="53"/>
      <c r="H309" s="53"/>
      <c r="I309" s="53"/>
    </row>
    <row r="310" spans="1:9" x14ac:dyDescent="0.3">
      <c r="A310" s="55">
        <v>307</v>
      </c>
      <c r="B310" s="26" t="s">
        <v>465</v>
      </c>
      <c r="C310" s="75" t="s">
        <v>41</v>
      </c>
      <c r="D310" s="62"/>
      <c r="E310" s="58">
        <v>1</v>
      </c>
      <c r="F310" s="55" t="s">
        <v>624</v>
      </c>
      <c r="G310" s="53"/>
      <c r="H310" s="53"/>
      <c r="I310" s="53"/>
    </row>
    <row r="311" spans="1:9" x14ac:dyDescent="0.3">
      <c r="A311" s="55">
        <v>308</v>
      </c>
      <c r="B311" s="26" t="s">
        <v>466</v>
      </c>
      <c r="C311" s="75" t="s">
        <v>41</v>
      </c>
      <c r="D311" s="62"/>
      <c r="E311" s="58">
        <v>1</v>
      </c>
      <c r="F311" s="55" t="s">
        <v>624</v>
      </c>
      <c r="G311" s="53"/>
      <c r="H311" s="53"/>
      <c r="I311" s="53"/>
    </row>
    <row r="312" spans="1:9" x14ac:dyDescent="0.3">
      <c r="A312" s="55">
        <v>309</v>
      </c>
      <c r="B312" s="26" t="s">
        <v>467</v>
      </c>
      <c r="C312" s="74" t="s">
        <v>159</v>
      </c>
      <c r="D312" s="62"/>
      <c r="E312" s="58">
        <v>2</v>
      </c>
      <c r="F312" s="55" t="s">
        <v>624</v>
      </c>
      <c r="G312" s="53"/>
      <c r="H312" s="53"/>
      <c r="I312" s="53"/>
    </row>
    <row r="313" spans="1:9" x14ac:dyDescent="0.3">
      <c r="A313" s="55">
        <v>310</v>
      </c>
      <c r="B313" s="26" t="s">
        <v>468</v>
      </c>
      <c r="C313" s="75" t="s">
        <v>159</v>
      </c>
      <c r="D313" s="62"/>
      <c r="E313" s="58">
        <v>2</v>
      </c>
      <c r="F313" s="55" t="s">
        <v>624</v>
      </c>
      <c r="G313" s="53"/>
      <c r="H313" s="53"/>
      <c r="I313" s="53"/>
    </row>
    <row r="314" spans="1:9" x14ac:dyDescent="0.3">
      <c r="A314" s="55">
        <v>311</v>
      </c>
      <c r="B314" s="26" t="s">
        <v>469</v>
      </c>
      <c r="C314" s="74" t="s">
        <v>42</v>
      </c>
      <c r="D314" s="62"/>
      <c r="E314" s="58">
        <v>1</v>
      </c>
      <c r="F314" s="55" t="s">
        <v>624</v>
      </c>
      <c r="G314" s="53"/>
      <c r="H314" s="53"/>
      <c r="I314" s="53"/>
    </row>
    <row r="315" spans="1:9" x14ac:dyDescent="0.3">
      <c r="A315" s="55">
        <v>312</v>
      </c>
      <c r="B315" s="26" t="s">
        <v>470</v>
      </c>
      <c r="C315" s="75" t="s">
        <v>42</v>
      </c>
      <c r="D315" s="62"/>
      <c r="E315" s="58">
        <v>1</v>
      </c>
      <c r="F315" s="55" t="s">
        <v>624</v>
      </c>
      <c r="G315" s="53"/>
      <c r="H315" s="53"/>
      <c r="I315" s="53"/>
    </row>
    <row r="316" spans="1:9" x14ac:dyDescent="0.3">
      <c r="A316" s="55">
        <v>313</v>
      </c>
      <c r="B316" s="27" t="s">
        <v>471</v>
      </c>
      <c r="C316" s="47" t="s">
        <v>43</v>
      </c>
      <c r="D316" s="62"/>
      <c r="E316" s="58">
        <v>1</v>
      </c>
      <c r="F316" s="55" t="s">
        <v>624</v>
      </c>
      <c r="G316" s="53"/>
      <c r="H316" s="53"/>
      <c r="I316" s="53"/>
    </row>
    <row r="317" spans="1:9" x14ac:dyDescent="0.3">
      <c r="A317" s="55">
        <v>314</v>
      </c>
      <c r="B317" s="27" t="s">
        <v>472</v>
      </c>
      <c r="C317" s="75" t="s">
        <v>43</v>
      </c>
      <c r="D317" s="62"/>
      <c r="E317" s="58">
        <v>2</v>
      </c>
      <c r="F317" s="55" t="s">
        <v>624</v>
      </c>
      <c r="G317" s="53"/>
      <c r="H317" s="53"/>
      <c r="I317" s="53"/>
    </row>
    <row r="318" spans="1:9" x14ac:dyDescent="0.3">
      <c r="A318" s="55">
        <v>315</v>
      </c>
      <c r="B318" s="27" t="s">
        <v>473</v>
      </c>
      <c r="C318" s="47" t="s">
        <v>44</v>
      </c>
      <c r="D318" s="62"/>
      <c r="E318" s="58">
        <v>1</v>
      </c>
      <c r="F318" s="55" t="s">
        <v>624</v>
      </c>
      <c r="G318" s="53"/>
      <c r="H318" s="53"/>
      <c r="I318" s="53"/>
    </row>
    <row r="319" spans="1:9" x14ac:dyDescent="0.3">
      <c r="A319" s="55">
        <v>316</v>
      </c>
      <c r="B319" s="27" t="s">
        <v>474</v>
      </c>
      <c r="C319" s="75" t="s">
        <v>44</v>
      </c>
      <c r="D319" s="62"/>
      <c r="E319" s="58">
        <v>1</v>
      </c>
      <c r="F319" s="55" t="s">
        <v>624</v>
      </c>
      <c r="G319" s="53"/>
      <c r="H319" s="53"/>
      <c r="I319" s="53"/>
    </row>
    <row r="320" spans="1:9" x14ac:dyDescent="0.3">
      <c r="A320" s="55">
        <v>317</v>
      </c>
      <c r="B320" s="27" t="s">
        <v>475</v>
      </c>
      <c r="C320" s="47" t="s">
        <v>45</v>
      </c>
      <c r="D320" s="62"/>
      <c r="E320" s="58">
        <v>1</v>
      </c>
      <c r="F320" s="55" t="s">
        <v>624</v>
      </c>
      <c r="G320" s="53"/>
      <c r="H320" s="53"/>
      <c r="I320" s="53"/>
    </row>
    <row r="321" spans="1:9" x14ac:dyDescent="0.3">
      <c r="A321" s="55">
        <v>318</v>
      </c>
      <c r="B321" s="27" t="s">
        <v>476</v>
      </c>
      <c r="C321" s="75" t="s">
        <v>45</v>
      </c>
      <c r="D321" s="62"/>
      <c r="E321" s="58">
        <v>1</v>
      </c>
      <c r="F321" s="55" t="s">
        <v>624</v>
      </c>
      <c r="G321" s="53"/>
      <c r="H321" s="53"/>
      <c r="I321" s="53"/>
    </row>
    <row r="322" spans="1:9" x14ac:dyDescent="0.3">
      <c r="A322" s="55">
        <v>319</v>
      </c>
      <c r="B322" s="28" t="s">
        <v>477</v>
      </c>
      <c r="C322" s="47" t="s">
        <v>46</v>
      </c>
      <c r="D322" s="62"/>
      <c r="E322" s="58">
        <v>1</v>
      </c>
      <c r="F322" s="55" t="s">
        <v>624</v>
      </c>
      <c r="G322" s="53"/>
      <c r="H322" s="53"/>
      <c r="I322" s="53"/>
    </row>
    <row r="323" spans="1:9" x14ac:dyDescent="0.3">
      <c r="A323" s="55">
        <v>320</v>
      </c>
      <c r="B323" s="28" t="s">
        <v>478</v>
      </c>
      <c r="C323" s="75" t="s">
        <v>46</v>
      </c>
      <c r="D323" s="62"/>
      <c r="E323" s="58">
        <v>1</v>
      </c>
      <c r="F323" s="55" t="s">
        <v>624</v>
      </c>
      <c r="G323" s="53"/>
      <c r="H323" s="53"/>
      <c r="I323" s="53"/>
    </row>
    <row r="324" spans="1:9" x14ac:dyDescent="0.3">
      <c r="A324" s="55">
        <v>321</v>
      </c>
      <c r="B324" s="26" t="s">
        <v>479</v>
      </c>
      <c r="C324" s="74" t="s">
        <v>47</v>
      </c>
      <c r="D324" s="62"/>
      <c r="E324" s="58">
        <v>1</v>
      </c>
      <c r="F324" s="55" t="s">
        <v>624</v>
      </c>
      <c r="G324" s="53"/>
      <c r="H324" s="53"/>
      <c r="I324" s="53"/>
    </row>
    <row r="325" spans="1:9" x14ac:dyDescent="0.3">
      <c r="A325" s="55">
        <v>322</v>
      </c>
      <c r="B325" s="26" t="s">
        <v>480</v>
      </c>
      <c r="C325" s="75" t="s">
        <v>47</v>
      </c>
      <c r="D325" s="62"/>
      <c r="E325" s="58">
        <v>1</v>
      </c>
      <c r="F325" s="55" t="s">
        <v>624</v>
      </c>
      <c r="G325" s="53"/>
      <c r="H325" s="53"/>
      <c r="I325" s="53"/>
    </row>
    <row r="326" spans="1:9" x14ac:dyDescent="0.3">
      <c r="A326" s="55">
        <v>323</v>
      </c>
      <c r="B326" s="26" t="s">
        <v>481</v>
      </c>
      <c r="C326" s="74" t="s">
        <v>48</v>
      </c>
      <c r="D326" s="62"/>
      <c r="E326" s="58">
        <v>2</v>
      </c>
      <c r="F326" s="55" t="s">
        <v>624</v>
      </c>
      <c r="G326" s="53"/>
      <c r="H326" s="53"/>
      <c r="I326" s="53"/>
    </row>
    <row r="327" spans="1:9" x14ac:dyDescent="0.3">
      <c r="A327" s="55">
        <v>324</v>
      </c>
      <c r="B327" s="26" t="s">
        <v>482</v>
      </c>
      <c r="C327" s="75" t="s">
        <v>48</v>
      </c>
      <c r="D327" s="62"/>
      <c r="E327" s="58">
        <v>2</v>
      </c>
      <c r="F327" s="55" t="s">
        <v>624</v>
      </c>
      <c r="G327" s="53"/>
      <c r="H327" s="53"/>
      <c r="I327" s="53"/>
    </row>
    <row r="328" spans="1:9" x14ac:dyDescent="0.3">
      <c r="A328" s="55">
        <v>325</v>
      </c>
      <c r="B328" s="27" t="s">
        <v>483</v>
      </c>
      <c r="C328" s="47" t="s">
        <v>50</v>
      </c>
      <c r="D328" s="62"/>
      <c r="E328" s="58">
        <v>2</v>
      </c>
      <c r="F328" s="55" t="s">
        <v>624</v>
      </c>
      <c r="G328" s="53"/>
      <c r="H328" s="53"/>
      <c r="I328" s="53"/>
    </row>
    <row r="329" spans="1:9" x14ac:dyDescent="0.3">
      <c r="A329" s="55">
        <v>326</v>
      </c>
      <c r="B329" s="27" t="s">
        <v>484</v>
      </c>
      <c r="C329" s="75" t="s">
        <v>50</v>
      </c>
      <c r="D329" s="62"/>
      <c r="E329" s="58">
        <v>2</v>
      </c>
      <c r="F329" s="55" t="s">
        <v>624</v>
      </c>
      <c r="G329" s="53"/>
      <c r="H329" s="53"/>
      <c r="I329" s="53"/>
    </row>
    <row r="330" spans="1:9" x14ac:dyDescent="0.3">
      <c r="A330" s="55">
        <v>327</v>
      </c>
      <c r="B330" s="27" t="s">
        <v>485</v>
      </c>
      <c r="C330" s="47" t="s">
        <v>51</v>
      </c>
      <c r="D330" s="62"/>
      <c r="E330" s="58">
        <v>1</v>
      </c>
      <c r="F330" s="55" t="s">
        <v>624</v>
      </c>
      <c r="G330" s="53"/>
      <c r="H330" s="53"/>
      <c r="I330" s="53"/>
    </row>
    <row r="331" spans="1:9" x14ac:dyDescent="0.3">
      <c r="A331" s="55">
        <v>328</v>
      </c>
      <c r="B331" s="59" t="s">
        <v>486</v>
      </c>
      <c r="C331" s="75" t="s">
        <v>51</v>
      </c>
      <c r="D331" s="62"/>
      <c r="E331" s="58">
        <v>2</v>
      </c>
      <c r="F331" s="55" t="s">
        <v>624</v>
      </c>
      <c r="G331" s="53"/>
      <c r="H331" s="53"/>
      <c r="I331" s="53"/>
    </row>
    <row r="332" spans="1:9" x14ac:dyDescent="0.3">
      <c r="A332" s="55">
        <v>329</v>
      </c>
      <c r="B332" s="27" t="s">
        <v>487</v>
      </c>
      <c r="C332" s="47" t="s">
        <v>53</v>
      </c>
      <c r="D332" s="62"/>
      <c r="E332" s="58">
        <v>2</v>
      </c>
      <c r="F332" s="55" t="s">
        <v>624</v>
      </c>
      <c r="G332" s="53"/>
      <c r="H332" s="53"/>
      <c r="I332" s="53"/>
    </row>
    <row r="333" spans="1:9" x14ac:dyDescent="0.3">
      <c r="A333" s="55">
        <v>330</v>
      </c>
      <c r="B333" s="27" t="s">
        <v>488</v>
      </c>
      <c r="C333" s="75" t="s">
        <v>53</v>
      </c>
      <c r="D333" s="62"/>
      <c r="E333" s="58">
        <v>2</v>
      </c>
      <c r="F333" s="55" t="s">
        <v>624</v>
      </c>
      <c r="G333" s="53"/>
      <c r="H333" s="53"/>
      <c r="I333" s="53"/>
    </row>
    <row r="334" spans="1:9" x14ac:dyDescent="0.3">
      <c r="A334" s="55">
        <v>331</v>
      </c>
      <c r="B334" s="27" t="s">
        <v>489</v>
      </c>
      <c r="C334" s="47" t="s">
        <v>54</v>
      </c>
      <c r="D334" s="62"/>
      <c r="E334" s="58">
        <v>2</v>
      </c>
      <c r="F334" s="55" t="s">
        <v>624</v>
      </c>
      <c r="G334" s="53"/>
      <c r="H334" s="53"/>
      <c r="I334" s="53"/>
    </row>
    <row r="335" spans="1:9" x14ac:dyDescent="0.3">
      <c r="A335" s="55">
        <v>332</v>
      </c>
      <c r="B335" s="27" t="s">
        <v>490</v>
      </c>
      <c r="C335" s="75" t="s">
        <v>54</v>
      </c>
      <c r="D335" s="62"/>
      <c r="E335" s="58">
        <v>2</v>
      </c>
      <c r="F335" s="55" t="s">
        <v>624</v>
      </c>
      <c r="G335" s="53"/>
      <c r="H335" s="53"/>
      <c r="I335" s="53"/>
    </row>
    <row r="336" spans="1:9" x14ac:dyDescent="0.3">
      <c r="A336" s="55">
        <v>333</v>
      </c>
      <c r="B336" s="27" t="s">
        <v>491</v>
      </c>
      <c r="C336" s="47" t="s">
        <v>55</v>
      </c>
      <c r="D336" s="62"/>
      <c r="E336" s="58">
        <v>1</v>
      </c>
      <c r="F336" s="55" t="s">
        <v>624</v>
      </c>
      <c r="G336" s="53"/>
      <c r="H336" s="53"/>
      <c r="I336" s="53"/>
    </row>
    <row r="337" spans="1:9" x14ac:dyDescent="0.3">
      <c r="A337" s="55">
        <v>334</v>
      </c>
      <c r="B337" s="27" t="s">
        <v>492</v>
      </c>
      <c r="C337" s="75" t="s">
        <v>55</v>
      </c>
      <c r="D337" s="62"/>
      <c r="E337" s="58">
        <v>2</v>
      </c>
      <c r="F337" s="55" t="s">
        <v>624</v>
      </c>
      <c r="G337" s="53"/>
      <c r="H337" s="53"/>
      <c r="I337" s="53"/>
    </row>
    <row r="338" spans="1:9" x14ac:dyDescent="0.3">
      <c r="A338" s="55">
        <v>335</v>
      </c>
      <c r="B338" s="27" t="s">
        <v>493</v>
      </c>
      <c r="C338" s="47" t="s">
        <v>57</v>
      </c>
      <c r="D338" s="62"/>
      <c r="E338" s="58">
        <v>2</v>
      </c>
      <c r="F338" s="55" t="s">
        <v>624</v>
      </c>
      <c r="G338" s="53"/>
      <c r="H338" s="53"/>
      <c r="I338" s="53"/>
    </row>
    <row r="339" spans="1:9" x14ac:dyDescent="0.3">
      <c r="A339" s="55">
        <v>336</v>
      </c>
      <c r="B339" s="27" t="s">
        <v>494</v>
      </c>
      <c r="C339" s="75" t="s">
        <v>57</v>
      </c>
      <c r="D339" s="62"/>
      <c r="E339" s="58">
        <v>2</v>
      </c>
      <c r="F339" s="55" t="s">
        <v>624</v>
      </c>
      <c r="G339" s="53"/>
      <c r="H339" s="53"/>
      <c r="I339" s="53"/>
    </row>
    <row r="340" spans="1:9" x14ac:dyDescent="0.3">
      <c r="A340" s="55">
        <v>337</v>
      </c>
      <c r="B340" s="27" t="s">
        <v>495</v>
      </c>
      <c r="C340" s="47" t="s">
        <v>58</v>
      </c>
      <c r="D340" s="62"/>
      <c r="E340" s="58">
        <v>1</v>
      </c>
      <c r="F340" s="55" t="s">
        <v>624</v>
      </c>
      <c r="G340" s="53"/>
      <c r="H340" s="53"/>
      <c r="I340" s="53"/>
    </row>
    <row r="341" spans="1:9" x14ac:dyDescent="0.3">
      <c r="A341" s="55">
        <v>338</v>
      </c>
      <c r="B341" s="27" t="s">
        <v>496</v>
      </c>
      <c r="C341" s="75" t="s">
        <v>58</v>
      </c>
      <c r="D341" s="62"/>
      <c r="E341" s="58">
        <v>1</v>
      </c>
      <c r="F341" s="55" t="s">
        <v>624</v>
      </c>
      <c r="G341" s="53"/>
      <c r="H341" s="53"/>
      <c r="I341" s="53"/>
    </row>
    <row r="342" spans="1:9" x14ac:dyDescent="0.3">
      <c r="A342" s="55">
        <v>339</v>
      </c>
      <c r="B342" s="27" t="s">
        <v>497</v>
      </c>
      <c r="C342" s="47" t="s">
        <v>59</v>
      </c>
      <c r="D342" s="62"/>
      <c r="E342" s="58">
        <v>1</v>
      </c>
      <c r="F342" s="55" t="s">
        <v>624</v>
      </c>
      <c r="G342" s="53"/>
      <c r="H342" s="53"/>
      <c r="I342" s="53"/>
    </row>
    <row r="343" spans="1:9" x14ac:dyDescent="0.3">
      <c r="A343" s="55">
        <v>340</v>
      </c>
      <c r="B343" s="27" t="s">
        <v>498</v>
      </c>
      <c r="C343" s="75" t="s">
        <v>59</v>
      </c>
      <c r="D343" s="62"/>
      <c r="E343" s="58">
        <v>1</v>
      </c>
      <c r="F343" s="55" t="s">
        <v>624</v>
      </c>
      <c r="G343" s="53"/>
      <c r="H343" s="53"/>
      <c r="I343" s="53"/>
    </row>
    <row r="344" spans="1:9" x14ac:dyDescent="0.3">
      <c r="A344" s="55">
        <v>341</v>
      </c>
      <c r="B344" s="27" t="s">
        <v>499</v>
      </c>
      <c r="C344" s="47" t="s">
        <v>60</v>
      </c>
      <c r="D344" s="62"/>
      <c r="E344" s="58">
        <v>2</v>
      </c>
      <c r="F344" s="55" t="s">
        <v>624</v>
      </c>
      <c r="G344" s="53"/>
      <c r="H344" s="53"/>
      <c r="I344" s="53"/>
    </row>
    <row r="345" spans="1:9" x14ac:dyDescent="0.3">
      <c r="A345" s="55">
        <v>342</v>
      </c>
      <c r="B345" s="27" t="s">
        <v>500</v>
      </c>
      <c r="C345" s="75" t="s">
        <v>60</v>
      </c>
      <c r="D345" s="62"/>
      <c r="E345" s="58">
        <v>2</v>
      </c>
      <c r="F345" s="55" t="s">
        <v>624</v>
      </c>
      <c r="G345" s="53"/>
      <c r="H345" s="53"/>
      <c r="I345" s="53"/>
    </row>
    <row r="346" spans="1:9" x14ac:dyDescent="0.3">
      <c r="A346" s="55">
        <v>343</v>
      </c>
      <c r="B346" s="28" t="s">
        <v>501</v>
      </c>
      <c r="C346" s="21" t="s">
        <v>81</v>
      </c>
      <c r="D346" s="62"/>
      <c r="E346" s="58">
        <v>3</v>
      </c>
      <c r="F346" s="55" t="s">
        <v>624</v>
      </c>
      <c r="G346" s="53"/>
      <c r="H346" s="53"/>
      <c r="I346" s="53"/>
    </row>
    <row r="347" spans="1:9" x14ac:dyDescent="0.3">
      <c r="A347" s="55">
        <v>344</v>
      </c>
      <c r="B347" s="28" t="s">
        <v>502</v>
      </c>
      <c r="C347" s="21" t="s">
        <v>81</v>
      </c>
      <c r="D347" s="62"/>
      <c r="E347" s="58">
        <v>3</v>
      </c>
      <c r="F347" s="55" t="s">
        <v>624</v>
      </c>
      <c r="G347" s="53"/>
      <c r="H347" s="53"/>
      <c r="I347" s="53"/>
    </row>
    <row r="348" spans="1:9" x14ac:dyDescent="0.3">
      <c r="A348" s="55">
        <v>345</v>
      </c>
      <c r="B348" s="28" t="s">
        <v>503</v>
      </c>
      <c r="C348" s="21" t="s">
        <v>81</v>
      </c>
      <c r="D348" s="62"/>
      <c r="E348" s="58">
        <v>3</v>
      </c>
      <c r="F348" s="55" t="s">
        <v>624</v>
      </c>
      <c r="G348" s="53"/>
      <c r="H348" s="53"/>
      <c r="I348" s="53"/>
    </row>
    <row r="349" spans="1:9" x14ac:dyDescent="0.3">
      <c r="A349" s="55">
        <v>346</v>
      </c>
      <c r="B349" s="28" t="s">
        <v>504</v>
      </c>
      <c r="C349" s="21" t="s">
        <v>81</v>
      </c>
      <c r="D349" s="62"/>
      <c r="E349" s="58">
        <v>3</v>
      </c>
      <c r="F349" s="55" t="s">
        <v>624</v>
      </c>
      <c r="G349" s="53"/>
      <c r="H349" s="53"/>
      <c r="I349" s="53"/>
    </row>
    <row r="350" spans="1:9" x14ac:dyDescent="0.3">
      <c r="A350" s="55">
        <v>347</v>
      </c>
      <c r="B350" s="28" t="s">
        <v>505</v>
      </c>
      <c r="C350" s="21" t="s">
        <v>81</v>
      </c>
      <c r="D350" s="62"/>
      <c r="E350" s="58">
        <v>3</v>
      </c>
      <c r="F350" s="55" t="s">
        <v>624</v>
      </c>
      <c r="G350" s="53"/>
      <c r="H350" s="53"/>
      <c r="I350" s="53"/>
    </row>
    <row r="351" spans="1:9" x14ac:dyDescent="0.3">
      <c r="A351" s="55">
        <v>348</v>
      </c>
      <c r="B351" s="28" t="s">
        <v>506</v>
      </c>
      <c r="C351" s="21" t="s">
        <v>81</v>
      </c>
      <c r="D351" s="62"/>
      <c r="E351" s="58">
        <v>3</v>
      </c>
      <c r="F351" s="55" t="s">
        <v>624</v>
      </c>
      <c r="G351" s="53"/>
      <c r="H351" s="53"/>
      <c r="I351" s="53"/>
    </row>
    <row r="352" spans="1:9" x14ac:dyDescent="0.3">
      <c r="A352" s="55">
        <v>349</v>
      </c>
      <c r="B352" s="28" t="s">
        <v>507</v>
      </c>
      <c r="C352" s="21" t="s">
        <v>81</v>
      </c>
      <c r="D352" s="62"/>
      <c r="E352" s="58">
        <v>3</v>
      </c>
      <c r="F352" s="55" t="s">
        <v>624</v>
      </c>
      <c r="G352" s="53"/>
      <c r="H352" s="53"/>
      <c r="I352" s="53"/>
    </row>
    <row r="353" spans="1:9" x14ac:dyDescent="0.3">
      <c r="A353" s="55">
        <v>350</v>
      </c>
      <c r="B353" s="28" t="s">
        <v>508</v>
      </c>
      <c r="C353" s="21" t="s">
        <v>81</v>
      </c>
      <c r="D353" s="62"/>
      <c r="E353" s="58">
        <v>3</v>
      </c>
      <c r="F353" s="55" t="s">
        <v>624</v>
      </c>
      <c r="G353" s="53"/>
      <c r="H353" s="53"/>
      <c r="I353" s="53"/>
    </row>
    <row r="354" spans="1:9" x14ac:dyDescent="0.3">
      <c r="A354" s="55">
        <v>351</v>
      </c>
      <c r="B354" s="28" t="s">
        <v>509</v>
      </c>
      <c r="C354" s="21" t="s">
        <v>81</v>
      </c>
      <c r="D354" s="62"/>
      <c r="E354" s="58">
        <v>3</v>
      </c>
      <c r="F354" s="55" t="s">
        <v>624</v>
      </c>
      <c r="G354" s="53"/>
      <c r="H354" s="53"/>
      <c r="I354" s="53"/>
    </row>
    <row r="355" spans="1:9" x14ac:dyDescent="0.3">
      <c r="A355" s="55">
        <v>352</v>
      </c>
      <c r="B355" s="28" t="s">
        <v>510</v>
      </c>
      <c r="C355" s="21" t="s">
        <v>81</v>
      </c>
      <c r="D355" s="62"/>
      <c r="E355" s="58">
        <v>3</v>
      </c>
      <c r="F355" s="55" t="s">
        <v>624</v>
      </c>
      <c r="G355" s="53"/>
      <c r="H355" s="53"/>
      <c r="I355" s="53"/>
    </row>
    <row r="356" spans="1:9" x14ac:dyDescent="0.3">
      <c r="A356" s="55">
        <v>353</v>
      </c>
      <c r="B356" s="28" t="s">
        <v>511</v>
      </c>
      <c r="C356" s="76" t="s">
        <v>61</v>
      </c>
      <c r="D356" s="62"/>
      <c r="E356" s="58">
        <v>3</v>
      </c>
      <c r="F356" s="55" t="s">
        <v>624</v>
      </c>
      <c r="G356" s="53"/>
      <c r="H356" s="53"/>
      <c r="I356" s="53"/>
    </row>
    <row r="357" spans="1:9" x14ac:dyDescent="0.3">
      <c r="A357" s="55">
        <v>354</v>
      </c>
      <c r="B357" s="28" t="s">
        <v>512</v>
      </c>
      <c r="C357" s="76" t="s">
        <v>61</v>
      </c>
      <c r="D357" s="62"/>
      <c r="E357" s="58">
        <v>3</v>
      </c>
      <c r="F357" s="55" t="s">
        <v>624</v>
      </c>
      <c r="G357" s="53"/>
      <c r="H357" s="53"/>
      <c r="I357" s="53"/>
    </row>
    <row r="358" spans="1:9" x14ac:dyDescent="0.3">
      <c r="A358" s="55">
        <v>355</v>
      </c>
      <c r="B358" s="28" t="s">
        <v>513</v>
      </c>
      <c r="C358" s="76" t="s">
        <v>61</v>
      </c>
      <c r="D358" s="62"/>
      <c r="E358" s="58">
        <v>3</v>
      </c>
      <c r="F358" s="55" t="s">
        <v>624</v>
      </c>
      <c r="G358" s="53"/>
      <c r="H358" s="53"/>
      <c r="I358" s="53"/>
    </row>
    <row r="359" spans="1:9" x14ac:dyDescent="0.3">
      <c r="A359" s="55">
        <v>356</v>
      </c>
      <c r="B359" s="28" t="s">
        <v>514</v>
      </c>
      <c r="C359" s="76" t="s">
        <v>61</v>
      </c>
      <c r="D359" s="62"/>
      <c r="E359" s="58">
        <v>3</v>
      </c>
      <c r="F359" s="55" t="s">
        <v>624</v>
      </c>
      <c r="G359" s="53"/>
      <c r="H359" s="53"/>
      <c r="I359" s="53"/>
    </row>
    <row r="360" spans="1:9" x14ac:dyDescent="0.3">
      <c r="A360" s="55">
        <v>357</v>
      </c>
      <c r="B360" s="28" t="s">
        <v>515</v>
      </c>
      <c r="C360" s="76" t="s">
        <v>61</v>
      </c>
      <c r="D360" s="62"/>
      <c r="E360" s="58">
        <v>3</v>
      </c>
      <c r="F360" s="55" t="s">
        <v>624</v>
      </c>
      <c r="G360" s="53"/>
      <c r="H360" s="53"/>
      <c r="I360" s="53"/>
    </row>
    <row r="361" spans="1:9" x14ac:dyDescent="0.3">
      <c r="A361" s="55">
        <v>358</v>
      </c>
      <c r="B361" s="28" t="s">
        <v>516</v>
      </c>
      <c r="C361" s="76" t="s">
        <v>61</v>
      </c>
      <c r="D361" s="62"/>
      <c r="E361" s="58">
        <v>3</v>
      </c>
      <c r="F361" s="55" t="s">
        <v>624</v>
      </c>
      <c r="G361" s="53"/>
      <c r="H361" s="53"/>
      <c r="I361" s="53"/>
    </row>
    <row r="362" spans="1:9" x14ac:dyDescent="0.3">
      <c r="A362" s="55">
        <v>359</v>
      </c>
      <c r="B362" s="28" t="s">
        <v>517</v>
      </c>
      <c r="C362" s="76" t="s">
        <v>61</v>
      </c>
      <c r="D362" s="62"/>
      <c r="E362" s="58">
        <v>3</v>
      </c>
      <c r="F362" s="55" t="s">
        <v>624</v>
      </c>
      <c r="G362" s="53"/>
      <c r="H362" s="53"/>
      <c r="I362" s="53"/>
    </row>
    <row r="363" spans="1:9" x14ac:dyDescent="0.3">
      <c r="A363" s="55">
        <v>360</v>
      </c>
      <c r="B363" s="28" t="s">
        <v>518</v>
      </c>
      <c r="C363" s="76" t="s">
        <v>61</v>
      </c>
      <c r="D363" s="62"/>
      <c r="E363" s="58">
        <v>3</v>
      </c>
      <c r="F363" s="55" t="s">
        <v>624</v>
      </c>
      <c r="G363" s="53"/>
      <c r="H363" s="53"/>
      <c r="I363" s="53"/>
    </row>
    <row r="364" spans="1:9" x14ac:dyDescent="0.3">
      <c r="A364" s="55">
        <v>361</v>
      </c>
      <c r="B364" s="28" t="s">
        <v>519</v>
      </c>
      <c r="C364" s="76" t="s">
        <v>61</v>
      </c>
      <c r="D364" s="62"/>
      <c r="E364" s="58">
        <v>3</v>
      </c>
      <c r="F364" s="55" t="s">
        <v>624</v>
      </c>
      <c r="G364" s="53"/>
      <c r="H364" s="53"/>
      <c r="I364" s="53"/>
    </row>
    <row r="365" spans="1:9" x14ac:dyDescent="0.3">
      <c r="A365" s="55">
        <v>362</v>
      </c>
      <c r="B365" s="28" t="s">
        <v>520</v>
      </c>
      <c r="C365" s="76" t="s">
        <v>61</v>
      </c>
      <c r="D365" s="62"/>
      <c r="E365" s="58">
        <v>3</v>
      </c>
      <c r="F365" s="55" t="s">
        <v>624</v>
      </c>
      <c r="G365" s="53"/>
      <c r="H365" s="53"/>
      <c r="I365" s="53"/>
    </row>
    <row r="366" spans="1:9" x14ac:dyDescent="0.3">
      <c r="A366" s="55">
        <v>363</v>
      </c>
      <c r="B366" s="28" t="s">
        <v>521</v>
      </c>
      <c r="C366" s="76" t="s">
        <v>33</v>
      </c>
      <c r="D366" s="62"/>
      <c r="E366" s="58">
        <v>1</v>
      </c>
      <c r="F366" s="55" t="s">
        <v>624</v>
      </c>
      <c r="G366" s="53"/>
      <c r="H366" s="53"/>
      <c r="I366" s="53"/>
    </row>
    <row r="367" spans="1:9" x14ac:dyDescent="0.3">
      <c r="A367" s="55">
        <v>364</v>
      </c>
      <c r="B367" s="28" t="s">
        <v>522</v>
      </c>
      <c r="C367" s="76" t="s">
        <v>33</v>
      </c>
      <c r="D367" s="62"/>
      <c r="E367" s="58">
        <v>1</v>
      </c>
      <c r="F367" s="55" t="s">
        <v>624</v>
      </c>
      <c r="G367" s="53"/>
      <c r="H367" s="53"/>
      <c r="I367" s="53"/>
    </row>
    <row r="368" spans="1:9" x14ac:dyDescent="0.3">
      <c r="A368" s="55">
        <v>365</v>
      </c>
      <c r="B368" s="28" t="s">
        <v>523</v>
      </c>
      <c r="C368" s="76" t="s">
        <v>33</v>
      </c>
      <c r="D368" s="62"/>
      <c r="E368" s="58">
        <v>1</v>
      </c>
      <c r="F368" s="55" t="s">
        <v>624</v>
      </c>
      <c r="G368" s="53"/>
      <c r="H368" s="53"/>
      <c r="I368" s="53"/>
    </row>
    <row r="369" spans="1:9" x14ac:dyDescent="0.3">
      <c r="A369" s="55">
        <v>366</v>
      </c>
      <c r="B369" s="28" t="s">
        <v>524</v>
      </c>
      <c r="C369" s="76" t="s">
        <v>33</v>
      </c>
      <c r="D369" s="62"/>
      <c r="E369" s="58">
        <v>1</v>
      </c>
      <c r="F369" s="55" t="s">
        <v>624</v>
      </c>
      <c r="G369" s="53"/>
      <c r="H369" s="53"/>
      <c r="I369" s="53"/>
    </row>
    <row r="370" spans="1:9" x14ac:dyDescent="0.3">
      <c r="A370" s="55">
        <v>367</v>
      </c>
      <c r="B370" s="28" t="s">
        <v>525</v>
      </c>
      <c r="C370" s="76" t="s">
        <v>33</v>
      </c>
      <c r="D370" s="62"/>
      <c r="E370" s="58">
        <v>1</v>
      </c>
      <c r="F370" s="55" t="s">
        <v>624</v>
      </c>
      <c r="G370" s="53"/>
      <c r="H370" s="53"/>
      <c r="I370" s="53"/>
    </row>
    <row r="371" spans="1:9" x14ac:dyDescent="0.3">
      <c r="A371" s="55">
        <v>368</v>
      </c>
      <c r="B371" s="28" t="s">
        <v>526</v>
      </c>
      <c r="C371" s="76" t="s">
        <v>33</v>
      </c>
      <c r="D371" s="62"/>
      <c r="E371" s="58">
        <v>1</v>
      </c>
      <c r="F371" s="55" t="s">
        <v>624</v>
      </c>
      <c r="G371" s="53"/>
      <c r="H371" s="53"/>
      <c r="I371" s="53"/>
    </row>
    <row r="372" spans="1:9" x14ac:dyDescent="0.3">
      <c r="A372" s="55">
        <v>369</v>
      </c>
      <c r="B372" s="28" t="s">
        <v>527</v>
      </c>
      <c r="C372" s="76" t="s">
        <v>33</v>
      </c>
      <c r="D372" s="62"/>
      <c r="E372" s="58">
        <v>1</v>
      </c>
      <c r="F372" s="55" t="s">
        <v>624</v>
      </c>
      <c r="G372" s="53"/>
      <c r="H372" s="53"/>
      <c r="I372" s="53"/>
    </row>
    <row r="373" spans="1:9" x14ac:dyDescent="0.3">
      <c r="A373" s="55">
        <v>370</v>
      </c>
      <c r="B373" s="28" t="s">
        <v>528</v>
      </c>
      <c r="C373" s="76" t="s">
        <v>33</v>
      </c>
      <c r="D373" s="62"/>
      <c r="E373" s="58">
        <v>1</v>
      </c>
      <c r="F373" s="55" t="s">
        <v>624</v>
      </c>
      <c r="G373" s="53"/>
      <c r="H373" s="53"/>
      <c r="I373" s="53"/>
    </row>
    <row r="374" spans="1:9" x14ac:dyDescent="0.3">
      <c r="A374" s="55">
        <v>371</v>
      </c>
      <c r="B374" s="28" t="s">
        <v>529</v>
      </c>
      <c r="C374" s="76" t="s">
        <v>33</v>
      </c>
      <c r="D374" s="62"/>
      <c r="E374" s="58">
        <v>1</v>
      </c>
      <c r="F374" s="55" t="s">
        <v>624</v>
      </c>
      <c r="G374" s="53"/>
      <c r="H374" s="53"/>
      <c r="I374" s="53"/>
    </row>
    <row r="375" spans="1:9" x14ac:dyDescent="0.3">
      <c r="A375" s="55">
        <v>372</v>
      </c>
      <c r="B375" s="28" t="s">
        <v>530</v>
      </c>
      <c r="C375" s="76" t="s">
        <v>33</v>
      </c>
      <c r="D375" s="62"/>
      <c r="E375" s="58">
        <v>1</v>
      </c>
      <c r="F375" s="55" t="s">
        <v>624</v>
      </c>
      <c r="G375" s="53"/>
      <c r="H375" s="53"/>
      <c r="I375" s="53"/>
    </row>
    <row r="376" spans="1:9" x14ac:dyDescent="0.3">
      <c r="A376" s="55">
        <v>373</v>
      </c>
      <c r="B376" s="28" t="s">
        <v>531</v>
      </c>
      <c r="C376" s="76" t="s">
        <v>33</v>
      </c>
      <c r="D376" s="62"/>
      <c r="E376" s="58">
        <v>1</v>
      </c>
      <c r="F376" s="55" t="s">
        <v>624</v>
      </c>
      <c r="G376" s="53"/>
      <c r="H376" s="53"/>
      <c r="I376" s="53"/>
    </row>
    <row r="377" spans="1:9" x14ac:dyDescent="0.3">
      <c r="A377" s="55">
        <v>374</v>
      </c>
      <c r="B377" s="28" t="s">
        <v>532</v>
      </c>
      <c r="C377" s="76" t="s">
        <v>33</v>
      </c>
      <c r="D377" s="62"/>
      <c r="E377" s="58">
        <v>1</v>
      </c>
      <c r="F377" s="55" t="s">
        <v>624</v>
      </c>
      <c r="G377" s="53"/>
      <c r="H377" s="53"/>
      <c r="I377" s="53"/>
    </row>
    <row r="378" spans="1:9" x14ac:dyDescent="0.3">
      <c r="A378" s="55">
        <v>375</v>
      </c>
      <c r="B378" s="28" t="s">
        <v>533</v>
      </c>
      <c r="C378" s="76" t="s">
        <v>33</v>
      </c>
      <c r="D378" s="62"/>
      <c r="E378" s="58">
        <v>1</v>
      </c>
      <c r="F378" s="55" t="s">
        <v>624</v>
      </c>
      <c r="G378" s="53"/>
      <c r="H378" s="53"/>
      <c r="I378" s="53"/>
    </row>
    <row r="379" spans="1:9" x14ac:dyDescent="0.3">
      <c r="A379" s="55">
        <v>376</v>
      </c>
      <c r="B379" s="28" t="s">
        <v>534</v>
      </c>
      <c r="C379" s="76" t="s">
        <v>33</v>
      </c>
      <c r="D379" s="62"/>
      <c r="E379" s="58">
        <v>1</v>
      </c>
      <c r="F379" s="55" t="s">
        <v>624</v>
      </c>
      <c r="G379" s="53"/>
      <c r="H379" s="53"/>
      <c r="I379" s="53"/>
    </row>
    <row r="380" spans="1:9" x14ac:dyDescent="0.3">
      <c r="A380" s="55">
        <v>377</v>
      </c>
      <c r="B380" s="28" t="s">
        <v>535</v>
      </c>
      <c r="C380" s="76" t="s">
        <v>33</v>
      </c>
      <c r="D380" s="62"/>
      <c r="E380" s="58">
        <v>1</v>
      </c>
      <c r="F380" s="55" t="s">
        <v>624</v>
      </c>
      <c r="G380" s="53"/>
      <c r="H380" s="53"/>
      <c r="I380" s="53"/>
    </row>
    <row r="381" spans="1:9" x14ac:dyDescent="0.3">
      <c r="A381" s="55">
        <v>378</v>
      </c>
      <c r="B381" s="28" t="s">
        <v>536</v>
      </c>
      <c r="C381" s="76" t="s">
        <v>33</v>
      </c>
      <c r="D381" s="62"/>
      <c r="E381" s="58">
        <v>1</v>
      </c>
      <c r="F381" s="55" t="s">
        <v>624</v>
      </c>
      <c r="G381" s="53"/>
      <c r="H381" s="53"/>
      <c r="I381" s="53"/>
    </row>
    <row r="382" spans="1:9" x14ac:dyDescent="0.3">
      <c r="A382" s="55">
        <v>379</v>
      </c>
      <c r="B382" s="28" t="s">
        <v>537</v>
      </c>
      <c r="C382" s="76" t="s">
        <v>34</v>
      </c>
      <c r="D382" s="62"/>
      <c r="E382" s="58">
        <v>2</v>
      </c>
      <c r="F382" s="55" t="s">
        <v>624</v>
      </c>
      <c r="G382" s="53"/>
      <c r="H382" s="53"/>
      <c r="I382" s="53"/>
    </row>
    <row r="383" spans="1:9" x14ac:dyDescent="0.3">
      <c r="A383" s="55">
        <v>380</v>
      </c>
      <c r="B383" s="28" t="s">
        <v>538</v>
      </c>
      <c r="C383" s="76" t="s">
        <v>34</v>
      </c>
      <c r="D383" s="62"/>
      <c r="E383" s="58">
        <v>2</v>
      </c>
      <c r="F383" s="55" t="s">
        <v>624</v>
      </c>
      <c r="G383" s="53"/>
      <c r="H383" s="53"/>
      <c r="I383" s="53"/>
    </row>
    <row r="384" spans="1:9" x14ac:dyDescent="0.3">
      <c r="A384" s="55">
        <v>381</v>
      </c>
      <c r="B384" s="28" t="s">
        <v>539</v>
      </c>
      <c r="C384" s="76" t="s">
        <v>34</v>
      </c>
      <c r="D384" s="62"/>
      <c r="E384" s="58">
        <v>2</v>
      </c>
      <c r="F384" s="55" t="s">
        <v>624</v>
      </c>
      <c r="G384" s="53"/>
      <c r="H384" s="53"/>
      <c r="I384" s="53"/>
    </row>
    <row r="385" spans="1:9" x14ac:dyDescent="0.3">
      <c r="A385" s="55">
        <v>382</v>
      </c>
      <c r="B385" s="28" t="s">
        <v>540</v>
      </c>
      <c r="C385" s="76" t="s">
        <v>34</v>
      </c>
      <c r="D385" s="62"/>
      <c r="E385" s="58">
        <v>2</v>
      </c>
      <c r="F385" s="55" t="s">
        <v>624</v>
      </c>
      <c r="G385" s="53"/>
      <c r="H385" s="53"/>
      <c r="I385" s="53"/>
    </row>
    <row r="386" spans="1:9" x14ac:dyDescent="0.3">
      <c r="A386" s="55">
        <v>383</v>
      </c>
      <c r="B386" s="28" t="s">
        <v>541</v>
      </c>
      <c r="C386" s="76" t="s">
        <v>34</v>
      </c>
      <c r="D386" s="62"/>
      <c r="E386" s="58">
        <v>2</v>
      </c>
      <c r="F386" s="55" t="s">
        <v>624</v>
      </c>
      <c r="G386" s="53"/>
      <c r="H386" s="53"/>
      <c r="I386" s="53"/>
    </row>
    <row r="387" spans="1:9" x14ac:dyDescent="0.3">
      <c r="A387" s="55">
        <v>384</v>
      </c>
      <c r="B387" s="28" t="s">
        <v>542</v>
      </c>
      <c r="C387" s="76" t="s">
        <v>34</v>
      </c>
      <c r="D387" s="62"/>
      <c r="E387" s="58">
        <v>2</v>
      </c>
      <c r="F387" s="55" t="s">
        <v>624</v>
      </c>
      <c r="G387" s="53"/>
      <c r="H387" s="53"/>
      <c r="I387" s="53"/>
    </row>
    <row r="388" spans="1:9" x14ac:dyDescent="0.3">
      <c r="A388" s="55">
        <v>385</v>
      </c>
      <c r="B388" s="28" t="s">
        <v>543</v>
      </c>
      <c r="C388" s="76" t="s">
        <v>34</v>
      </c>
      <c r="D388" s="62"/>
      <c r="E388" s="58">
        <v>2</v>
      </c>
      <c r="F388" s="55" t="s">
        <v>624</v>
      </c>
      <c r="G388" s="53"/>
      <c r="H388" s="53"/>
      <c r="I388" s="53"/>
    </row>
    <row r="389" spans="1:9" x14ac:dyDescent="0.3">
      <c r="A389" s="55">
        <v>386</v>
      </c>
      <c r="B389" s="28" t="s">
        <v>544</v>
      </c>
      <c r="C389" s="76" t="s">
        <v>34</v>
      </c>
      <c r="D389" s="62"/>
      <c r="E389" s="58">
        <v>2</v>
      </c>
      <c r="F389" s="55" t="s">
        <v>624</v>
      </c>
      <c r="G389" s="53"/>
      <c r="H389" s="53"/>
      <c r="I389" s="53"/>
    </row>
    <row r="390" spans="1:9" x14ac:dyDescent="0.3">
      <c r="A390" s="55">
        <v>387</v>
      </c>
      <c r="B390" s="28" t="s">
        <v>545</v>
      </c>
      <c r="C390" s="76" t="s">
        <v>34</v>
      </c>
      <c r="D390" s="62"/>
      <c r="E390" s="58">
        <v>2</v>
      </c>
      <c r="F390" s="55" t="s">
        <v>624</v>
      </c>
      <c r="G390" s="53"/>
      <c r="H390" s="53"/>
      <c r="I390" s="53"/>
    </row>
    <row r="391" spans="1:9" x14ac:dyDescent="0.3">
      <c r="A391" s="55">
        <v>388</v>
      </c>
      <c r="B391" s="28" t="s">
        <v>546</v>
      </c>
      <c r="C391" s="76" t="s">
        <v>34</v>
      </c>
      <c r="D391" s="62"/>
      <c r="E391" s="58">
        <v>2</v>
      </c>
      <c r="F391" s="55" t="s">
        <v>624</v>
      </c>
      <c r="G391" s="53"/>
      <c r="H391" s="53"/>
      <c r="I391" s="53"/>
    </row>
    <row r="392" spans="1:9" x14ac:dyDescent="0.3">
      <c r="A392" s="55">
        <v>389</v>
      </c>
      <c r="B392" s="28" t="s">
        <v>547</v>
      </c>
      <c r="C392" s="76" t="s">
        <v>34</v>
      </c>
      <c r="D392" s="62"/>
      <c r="E392" s="58">
        <v>2</v>
      </c>
      <c r="F392" s="55" t="s">
        <v>624</v>
      </c>
      <c r="G392" s="53"/>
      <c r="H392" s="53"/>
      <c r="I392" s="53"/>
    </row>
    <row r="393" spans="1:9" x14ac:dyDescent="0.3">
      <c r="A393" s="55">
        <v>390</v>
      </c>
      <c r="B393" s="28" t="s">
        <v>548</v>
      </c>
      <c r="C393" s="76" t="s">
        <v>34</v>
      </c>
      <c r="D393" s="62"/>
      <c r="E393" s="58">
        <v>2</v>
      </c>
      <c r="F393" s="55" t="s">
        <v>624</v>
      </c>
      <c r="G393" s="53"/>
      <c r="H393" s="53"/>
      <c r="I393" s="53"/>
    </row>
    <row r="394" spans="1:9" x14ac:dyDescent="0.3">
      <c r="A394" s="55">
        <v>391</v>
      </c>
      <c r="B394" s="28" t="s">
        <v>549</v>
      </c>
      <c r="C394" s="76" t="s">
        <v>34</v>
      </c>
      <c r="D394" s="62"/>
      <c r="E394" s="58">
        <v>2</v>
      </c>
      <c r="F394" s="55" t="s">
        <v>624</v>
      </c>
      <c r="G394" s="53"/>
      <c r="H394" s="53"/>
      <c r="I394" s="53"/>
    </row>
    <row r="395" spans="1:9" x14ac:dyDescent="0.3">
      <c r="A395" s="55">
        <v>392</v>
      </c>
      <c r="B395" s="28" t="s">
        <v>550</v>
      </c>
      <c r="C395" s="76" t="s">
        <v>34</v>
      </c>
      <c r="D395" s="62"/>
      <c r="E395" s="58">
        <v>2</v>
      </c>
      <c r="F395" s="55" t="s">
        <v>624</v>
      </c>
      <c r="G395" s="53"/>
      <c r="H395" s="53"/>
      <c r="I395" s="53"/>
    </row>
    <row r="396" spans="1:9" x14ac:dyDescent="0.3">
      <c r="A396" s="55">
        <v>393</v>
      </c>
      <c r="B396" s="28" t="s">
        <v>551</v>
      </c>
      <c r="C396" s="76" t="s">
        <v>34</v>
      </c>
      <c r="D396" s="62"/>
      <c r="E396" s="58">
        <v>2</v>
      </c>
      <c r="F396" s="55" t="s">
        <v>624</v>
      </c>
      <c r="G396" s="53"/>
      <c r="H396" s="53"/>
      <c r="I396" s="53"/>
    </row>
    <row r="397" spans="1:9" x14ac:dyDescent="0.3">
      <c r="A397" s="55">
        <v>394</v>
      </c>
      <c r="B397" s="28" t="s">
        <v>552</v>
      </c>
      <c r="C397" s="76" t="s">
        <v>34</v>
      </c>
      <c r="D397" s="62"/>
      <c r="E397" s="58">
        <v>2</v>
      </c>
      <c r="F397" s="55" t="s">
        <v>624</v>
      </c>
      <c r="G397" s="53"/>
      <c r="H397" s="53"/>
      <c r="I397" s="53"/>
    </row>
    <row r="398" spans="1:9" x14ac:dyDescent="0.3">
      <c r="A398" s="55">
        <v>395</v>
      </c>
      <c r="B398" s="28" t="s">
        <v>553</v>
      </c>
      <c r="C398" s="76" t="s">
        <v>34</v>
      </c>
      <c r="D398" s="62"/>
      <c r="E398" s="58">
        <v>2</v>
      </c>
      <c r="F398" s="55" t="s">
        <v>624</v>
      </c>
      <c r="G398" s="53"/>
      <c r="H398" s="53"/>
      <c r="I398" s="53"/>
    </row>
    <row r="399" spans="1:9" x14ac:dyDescent="0.3">
      <c r="A399" s="55">
        <v>396</v>
      </c>
      <c r="B399" s="28" t="s">
        <v>554</v>
      </c>
      <c r="C399" s="76" t="s">
        <v>34</v>
      </c>
      <c r="D399" s="62"/>
      <c r="E399" s="58">
        <v>2</v>
      </c>
      <c r="F399" s="55" t="s">
        <v>624</v>
      </c>
      <c r="G399" s="53"/>
      <c r="H399" s="53"/>
      <c r="I399" s="53"/>
    </row>
    <row r="400" spans="1:9" x14ac:dyDescent="0.3">
      <c r="A400" s="55">
        <v>397</v>
      </c>
      <c r="B400" s="28" t="s">
        <v>555</v>
      </c>
      <c r="C400" s="76" t="s">
        <v>34</v>
      </c>
      <c r="D400" s="62"/>
      <c r="E400" s="58">
        <v>2</v>
      </c>
      <c r="F400" s="55" t="s">
        <v>624</v>
      </c>
      <c r="G400" s="53"/>
      <c r="H400" s="53"/>
      <c r="I400" s="53"/>
    </row>
    <row r="401" spans="1:9" x14ac:dyDescent="0.3">
      <c r="A401" s="55">
        <v>398</v>
      </c>
      <c r="B401" s="28" t="s">
        <v>556</v>
      </c>
      <c r="C401" s="76" t="s">
        <v>34</v>
      </c>
      <c r="D401" s="62"/>
      <c r="E401" s="58">
        <v>2</v>
      </c>
      <c r="F401" s="55" t="s">
        <v>624</v>
      </c>
      <c r="G401" s="53"/>
      <c r="H401" s="53"/>
      <c r="I401" s="53"/>
    </row>
    <row r="402" spans="1:9" x14ac:dyDescent="0.3">
      <c r="A402" s="55">
        <v>399</v>
      </c>
      <c r="B402" s="26" t="s">
        <v>557</v>
      </c>
      <c r="C402" s="22" t="s">
        <v>95</v>
      </c>
      <c r="D402" s="62"/>
      <c r="E402" s="58">
        <v>1</v>
      </c>
      <c r="F402" s="55" t="s">
        <v>624</v>
      </c>
      <c r="G402" s="53"/>
      <c r="H402" s="53"/>
      <c r="I402" s="53"/>
    </row>
    <row r="403" spans="1:9" x14ac:dyDescent="0.3">
      <c r="A403" s="55">
        <v>400</v>
      </c>
      <c r="B403" s="26" t="s">
        <v>558</v>
      </c>
      <c r="C403" s="22" t="s">
        <v>95</v>
      </c>
      <c r="D403" s="62"/>
      <c r="E403" s="58">
        <v>1</v>
      </c>
      <c r="F403" s="55" t="s">
        <v>624</v>
      </c>
      <c r="G403" s="53"/>
      <c r="H403" s="53"/>
      <c r="I403" s="53"/>
    </row>
    <row r="404" spans="1:9" x14ac:dyDescent="0.3">
      <c r="A404" s="55">
        <v>401</v>
      </c>
      <c r="B404" s="26" t="s">
        <v>559</v>
      </c>
      <c r="C404" s="22" t="s">
        <v>95</v>
      </c>
      <c r="D404" s="62"/>
      <c r="E404" s="58">
        <v>2</v>
      </c>
      <c r="F404" s="55" t="s">
        <v>624</v>
      </c>
      <c r="G404" s="53"/>
      <c r="H404" s="53"/>
      <c r="I404" s="53"/>
    </row>
    <row r="405" spans="1:9" x14ac:dyDescent="0.3">
      <c r="A405" s="55">
        <v>402</v>
      </c>
      <c r="B405" s="29" t="s">
        <v>560</v>
      </c>
      <c r="C405" s="22" t="s">
        <v>95</v>
      </c>
      <c r="D405" s="62"/>
      <c r="E405" s="58">
        <v>1</v>
      </c>
      <c r="F405" s="55" t="s">
        <v>624</v>
      </c>
      <c r="G405" s="53"/>
      <c r="H405" s="53"/>
      <c r="I405" s="53"/>
    </row>
    <row r="406" spans="1:9" x14ac:dyDescent="0.3">
      <c r="A406" s="55">
        <v>403</v>
      </c>
      <c r="B406" s="26" t="s">
        <v>561</v>
      </c>
      <c r="C406" s="22" t="s">
        <v>95</v>
      </c>
      <c r="D406" s="62"/>
      <c r="E406" s="58">
        <v>2</v>
      </c>
      <c r="F406" s="55" t="s">
        <v>624</v>
      </c>
      <c r="G406" s="53"/>
      <c r="H406" s="53"/>
      <c r="I406" s="53"/>
    </row>
    <row r="407" spans="1:9" x14ac:dyDescent="0.3">
      <c r="A407" s="55">
        <v>404</v>
      </c>
      <c r="B407" s="29" t="s">
        <v>562</v>
      </c>
      <c r="C407" s="22" t="s">
        <v>95</v>
      </c>
      <c r="D407" s="62"/>
      <c r="E407" s="58">
        <v>1</v>
      </c>
      <c r="F407" s="55" t="s">
        <v>624</v>
      </c>
      <c r="G407" s="53"/>
      <c r="H407" s="53"/>
      <c r="I407" s="53"/>
    </row>
    <row r="408" spans="1:9" x14ac:dyDescent="0.3">
      <c r="A408" s="55">
        <v>405</v>
      </c>
      <c r="B408" s="28" t="s">
        <v>563</v>
      </c>
      <c r="C408" s="22" t="s">
        <v>63</v>
      </c>
      <c r="D408" s="62"/>
      <c r="E408" s="58">
        <v>2</v>
      </c>
      <c r="F408" s="55" t="s">
        <v>624</v>
      </c>
      <c r="G408" s="53"/>
      <c r="H408" s="53"/>
      <c r="I408" s="53"/>
    </row>
    <row r="409" spans="1:9" x14ac:dyDescent="0.3">
      <c r="A409" s="55">
        <v>406</v>
      </c>
      <c r="B409" s="59" t="s">
        <v>564</v>
      </c>
      <c r="C409" s="22" t="s">
        <v>63</v>
      </c>
      <c r="D409" s="62"/>
      <c r="E409" s="58">
        <v>2</v>
      </c>
      <c r="F409" s="55" t="s">
        <v>624</v>
      </c>
      <c r="G409" s="53"/>
      <c r="H409" s="53"/>
      <c r="I409" s="53"/>
    </row>
    <row r="410" spans="1:9" x14ac:dyDescent="0.3">
      <c r="A410" s="55">
        <v>407</v>
      </c>
      <c r="B410" s="28" t="s">
        <v>565</v>
      </c>
      <c r="C410" s="22" t="s">
        <v>63</v>
      </c>
      <c r="D410" s="62"/>
      <c r="E410" s="58">
        <v>1</v>
      </c>
      <c r="F410" s="55" t="s">
        <v>624</v>
      </c>
      <c r="G410" s="53"/>
      <c r="H410" s="53"/>
      <c r="I410" s="53"/>
    </row>
    <row r="411" spans="1:9" x14ac:dyDescent="0.3">
      <c r="A411" s="55">
        <v>408</v>
      </c>
      <c r="B411" s="28" t="s">
        <v>566</v>
      </c>
      <c r="C411" s="22" t="s">
        <v>63</v>
      </c>
      <c r="D411" s="62"/>
      <c r="E411" s="58">
        <v>2</v>
      </c>
      <c r="F411" s="55" t="s">
        <v>624</v>
      </c>
      <c r="G411" s="53"/>
      <c r="H411" s="53"/>
      <c r="I411" s="53"/>
    </row>
    <row r="412" spans="1:9" x14ac:dyDescent="0.3">
      <c r="A412" s="55">
        <v>409</v>
      </c>
      <c r="B412" s="28" t="s">
        <v>567</v>
      </c>
      <c r="C412" s="22" t="s">
        <v>63</v>
      </c>
      <c r="D412" s="62"/>
      <c r="E412" s="58">
        <v>4</v>
      </c>
      <c r="F412" s="55" t="s">
        <v>624</v>
      </c>
      <c r="G412" s="53"/>
      <c r="H412" s="53"/>
      <c r="I412" s="53"/>
    </row>
    <row r="413" spans="1:9" x14ac:dyDescent="0.3">
      <c r="A413" s="55">
        <v>410</v>
      </c>
      <c r="B413" s="28" t="s">
        <v>568</v>
      </c>
      <c r="C413" s="22" t="s">
        <v>63</v>
      </c>
      <c r="D413" s="62"/>
      <c r="E413" s="58">
        <v>2</v>
      </c>
      <c r="F413" s="55" t="s">
        <v>624</v>
      </c>
      <c r="G413" s="53"/>
      <c r="H413" s="53"/>
      <c r="I413" s="53"/>
    </row>
    <row r="414" spans="1:9" x14ac:dyDescent="0.3">
      <c r="A414" s="55">
        <v>411</v>
      </c>
      <c r="B414" s="28" t="s">
        <v>569</v>
      </c>
      <c r="C414" s="21" t="s">
        <v>64</v>
      </c>
      <c r="D414" s="62"/>
      <c r="E414" s="58">
        <v>2</v>
      </c>
      <c r="F414" s="55" t="s">
        <v>624</v>
      </c>
      <c r="G414" s="53"/>
      <c r="H414" s="53"/>
      <c r="I414" s="53"/>
    </row>
    <row r="415" spans="1:9" x14ac:dyDescent="0.3">
      <c r="A415" s="55">
        <v>412</v>
      </c>
      <c r="B415" s="28" t="s">
        <v>570</v>
      </c>
      <c r="C415" s="21" t="s">
        <v>64</v>
      </c>
      <c r="D415" s="62"/>
      <c r="E415" s="58">
        <v>1</v>
      </c>
      <c r="F415" s="55" t="s">
        <v>624</v>
      </c>
      <c r="G415" s="53"/>
      <c r="H415" s="53"/>
      <c r="I415" s="53"/>
    </row>
    <row r="416" spans="1:9" x14ac:dyDescent="0.3">
      <c r="A416" s="55">
        <v>413</v>
      </c>
      <c r="B416" s="28" t="s">
        <v>571</v>
      </c>
      <c r="C416" s="21" t="s">
        <v>64</v>
      </c>
      <c r="D416" s="62"/>
      <c r="E416" s="58">
        <v>2</v>
      </c>
      <c r="F416" s="55" t="s">
        <v>624</v>
      </c>
      <c r="G416" s="53"/>
      <c r="H416" s="53"/>
      <c r="I416" s="53"/>
    </row>
    <row r="417" spans="1:9" x14ac:dyDescent="0.3">
      <c r="A417" s="55">
        <v>414</v>
      </c>
      <c r="B417" s="28" t="s">
        <v>572</v>
      </c>
      <c r="C417" s="21" t="s">
        <v>64</v>
      </c>
      <c r="D417" s="62"/>
      <c r="E417" s="58">
        <v>2</v>
      </c>
      <c r="F417" s="55" t="s">
        <v>624</v>
      </c>
      <c r="G417" s="53"/>
      <c r="H417" s="53"/>
      <c r="I417" s="53"/>
    </row>
    <row r="418" spans="1:9" x14ac:dyDescent="0.3">
      <c r="A418" s="55">
        <v>415</v>
      </c>
      <c r="B418" s="28" t="s">
        <v>573</v>
      </c>
      <c r="C418" s="21" t="s">
        <v>64</v>
      </c>
      <c r="D418" s="62"/>
      <c r="E418" s="58">
        <v>2</v>
      </c>
      <c r="F418" s="55" t="s">
        <v>624</v>
      </c>
      <c r="G418" s="53"/>
      <c r="H418" s="53"/>
      <c r="I418" s="53"/>
    </row>
    <row r="419" spans="1:9" x14ac:dyDescent="0.3">
      <c r="A419" s="55">
        <v>416</v>
      </c>
      <c r="B419" s="28" t="s">
        <v>574</v>
      </c>
      <c r="C419" s="21" t="s">
        <v>64</v>
      </c>
      <c r="D419" s="62"/>
      <c r="E419" s="58">
        <v>2</v>
      </c>
      <c r="F419" s="55" t="s">
        <v>624</v>
      </c>
      <c r="G419" s="53"/>
      <c r="H419" s="53"/>
      <c r="I419" s="53"/>
    </row>
    <row r="420" spans="1:9" x14ac:dyDescent="0.3">
      <c r="A420" s="55">
        <v>417</v>
      </c>
      <c r="B420" s="26" t="s">
        <v>575</v>
      </c>
      <c r="C420" s="21" t="s">
        <v>65</v>
      </c>
      <c r="D420" s="62"/>
      <c r="E420" s="58">
        <v>1</v>
      </c>
      <c r="F420" s="55" t="s">
        <v>624</v>
      </c>
      <c r="G420" s="53"/>
      <c r="H420" s="53"/>
      <c r="I420" s="53"/>
    </row>
    <row r="421" spans="1:9" x14ac:dyDescent="0.3">
      <c r="A421" s="55">
        <v>418</v>
      </c>
      <c r="B421" s="26" t="s">
        <v>576</v>
      </c>
      <c r="C421" s="21" t="s">
        <v>65</v>
      </c>
      <c r="D421" s="62"/>
      <c r="E421" s="58">
        <v>2</v>
      </c>
      <c r="F421" s="55" t="s">
        <v>624</v>
      </c>
      <c r="G421" s="53"/>
      <c r="H421" s="53"/>
      <c r="I421" s="53"/>
    </row>
    <row r="422" spans="1:9" x14ac:dyDescent="0.3">
      <c r="A422" s="55">
        <v>419</v>
      </c>
      <c r="B422" s="26" t="s">
        <v>577</v>
      </c>
      <c r="C422" s="21" t="s">
        <v>65</v>
      </c>
      <c r="D422" s="62"/>
      <c r="E422" s="58">
        <v>2</v>
      </c>
      <c r="F422" s="55" t="s">
        <v>624</v>
      </c>
      <c r="G422" s="53"/>
      <c r="H422" s="53"/>
      <c r="I422" s="53"/>
    </row>
    <row r="423" spans="1:9" x14ac:dyDescent="0.3">
      <c r="A423" s="55">
        <v>420</v>
      </c>
      <c r="B423" s="26" t="s">
        <v>578</v>
      </c>
      <c r="C423" s="21" t="s">
        <v>65</v>
      </c>
      <c r="D423" s="62"/>
      <c r="E423" s="58">
        <v>2</v>
      </c>
      <c r="F423" s="55" t="s">
        <v>624</v>
      </c>
      <c r="G423" s="53"/>
      <c r="H423" s="53"/>
      <c r="I423" s="53"/>
    </row>
    <row r="424" spans="1:9" x14ac:dyDescent="0.3">
      <c r="A424" s="55">
        <v>421</v>
      </c>
      <c r="B424" s="26" t="s">
        <v>579</v>
      </c>
      <c r="C424" s="21" t="s">
        <v>65</v>
      </c>
      <c r="D424" s="62"/>
      <c r="E424" s="58">
        <v>2</v>
      </c>
      <c r="F424" s="55" t="s">
        <v>624</v>
      </c>
      <c r="G424" s="53"/>
      <c r="H424" s="53"/>
      <c r="I424" s="53"/>
    </row>
    <row r="425" spans="1:9" x14ac:dyDescent="0.3">
      <c r="A425" s="55">
        <v>422</v>
      </c>
      <c r="B425" s="26" t="s">
        <v>580</v>
      </c>
      <c r="C425" s="21" t="s">
        <v>65</v>
      </c>
      <c r="D425" s="62"/>
      <c r="E425" s="58">
        <v>2</v>
      </c>
      <c r="F425" s="55" t="s">
        <v>624</v>
      </c>
      <c r="G425" s="53"/>
      <c r="H425" s="53"/>
      <c r="I425" s="53"/>
    </row>
    <row r="426" spans="1:9" x14ac:dyDescent="0.3">
      <c r="A426" s="55">
        <v>423</v>
      </c>
      <c r="B426" s="26" t="s">
        <v>581</v>
      </c>
      <c r="C426" s="21" t="s">
        <v>65</v>
      </c>
      <c r="D426" s="62"/>
      <c r="E426" s="58">
        <v>2</v>
      </c>
      <c r="F426" s="55" t="s">
        <v>624</v>
      </c>
      <c r="G426" s="53"/>
      <c r="H426" s="53"/>
      <c r="I426" s="53"/>
    </row>
    <row r="427" spans="1:9" x14ac:dyDescent="0.3">
      <c r="A427" s="55">
        <v>424</v>
      </c>
      <c r="B427" s="26" t="s">
        <v>582</v>
      </c>
      <c r="C427" s="21" t="s">
        <v>65</v>
      </c>
      <c r="D427" s="62"/>
      <c r="E427" s="58">
        <v>3</v>
      </c>
      <c r="F427" s="55" t="s">
        <v>624</v>
      </c>
      <c r="G427" s="53"/>
      <c r="H427" s="53"/>
      <c r="I427" s="53"/>
    </row>
    <row r="428" spans="1:9" x14ac:dyDescent="0.3">
      <c r="A428" s="55">
        <v>425</v>
      </c>
      <c r="B428" s="26" t="s">
        <v>583</v>
      </c>
      <c r="C428" s="21" t="s">
        <v>66</v>
      </c>
      <c r="D428" s="62"/>
      <c r="E428" s="58">
        <v>2</v>
      </c>
      <c r="F428" s="55" t="s">
        <v>624</v>
      </c>
      <c r="G428" s="53"/>
      <c r="H428" s="53"/>
      <c r="I428" s="53"/>
    </row>
    <row r="429" spans="1:9" x14ac:dyDescent="0.3">
      <c r="A429" s="55">
        <v>426</v>
      </c>
      <c r="B429" s="26" t="s">
        <v>584</v>
      </c>
      <c r="C429" s="21" t="s">
        <v>66</v>
      </c>
      <c r="D429" s="62"/>
      <c r="E429" s="58">
        <v>1</v>
      </c>
      <c r="F429" s="55" t="s">
        <v>624</v>
      </c>
      <c r="G429" s="53"/>
      <c r="H429" s="53"/>
      <c r="I429" s="53"/>
    </row>
    <row r="430" spans="1:9" x14ac:dyDescent="0.3">
      <c r="A430" s="55">
        <v>427</v>
      </c>
      <c r="B430" s="26" t="s">
        <v>585</v>
      </c>
      <c r="C430" s="21" t="s">
        <v>66</v>
      </c>
      <c r="D430" s="62"/>
      <c r="E430" s="58">
        <v>2</v>
      </c>
      <c r="F430" s="55" t="s">
        <v>624</v>
      </c>
      <c r="G430" s="53"/>
      <c r="H430" s="53"/>
      <c r="I430" s="53"/>
    </row>
    <row r="431" spans="1:9" x14ac:dyDescent="0.3">
      <c r="A431" s="55">
        <v>428</v>
      </c>
      <c r="B431" s="26" t="s">
        <v>586</v>
      </c>
      <c r="C431" s="21" t="s">
        <v>66</v>
      </c>
      <c r="D431" s="62"/>
      <c r="E431" s="58">
        <v>2</v>
      </c>
      <c r="F431" s="55" t="s">
        <v>624</v>
      </c>
      <c r="G431" s="53"/>
      <c r="H431" s="53"/>
      <c r="I431" s="53"/>
    </row>
    <row r="432" spans="1:9" x14ac:dyDescent="0.3">
      <c r="A432" s="55">
        <v>429</v>
      </c>
      <c r="B432" s="26" t="s">
        <v>587</v>
      </c>
      <c r="C432" s="21" t="s">
        <v>66</v>
      </c>
      <c r="D432" s="62"/>
      <c r="E432" s="58">
        <v>2</v>
      </c>
      <c r="F432" s="55" t="s">
        <v>624</v>
      </c>
      <c r="G432" s="53"/>
      <c r="H432" s="53"/>
      <c r="I432" s="53"/>
    </row>
    <row r="433" spans="1:9" x14ac:dyDescent="0.3">
      <c r="A433" s="55">
        <v>430</v>
      </c>
      <c r="B433" s="26" t="s">
        <v>588</v>
      </c>
      <c r="C433" s="21" t="s">
        <v>66</v>
      </c>
      <c r="D433" s="62"/>
      <c r="E433" s="58">
        <v>2</v>
      </c>
      <c r="F433" s="55" t="s">
        <v>624</v>
      </c>
      <c r="G433" s="53"/>
      <c r="H433" s="53"/>
      <c r="I433" s="53"/>
    </row>
    <row r="434" spans="1:9" x14ac:dyDescent="0.3">
      <c r="A434" s="55">
        <v>431</v>
      </c>
      <c r="B434" s="26" t="s">
        <v>589</v>
      </c>
      <c r="C434" s="21" t="s">
        <v>66</v>
      </c>
      <c r="D434" s="62"/>
      <c r="E434" s="58">
        <v>2</v>
      </c>
      <c r="F434" s="55" t="s">
        <v>624</v>
      </c>
      <c r="G434" s="53"/>
      <c r="H434" s="53"/>
      <c r="I434" s="53"/>
    </row>
    <row r="435" spans="1:9" x14ac:dyDescent="0.3">
      <c r="A435" s="55">
        <v>432</v>
      </c>
      <c r="B435" s="26" t="s">
        <v>590</v>
      </c>
      <c r="C435" s="21" t="s">
        <v>66</v>
      </c>
      <c r="D435" s="62"/>
      <c r="E435" s="58">
        <v>2</v>
      </c>
      <c r="F435" s="55" t="s">
        <v>624</v>
      </c>
      <c r="G435" s="53"/>
      <c r="H435" s="53"/>
      <c r="I435" s="53"/>
    </row>
    <row r="436" spans="1:9" x14ac:dyDescent="0.3">
      <c r="A436" s="55">
        <v>433</v>
      </c>
      <c r="B436" s="30" t="s">
        <v>591</v>
      </c>
      <c r="C436" s="22" t="s">
        <v>68</v>
      </c>
      <c r="D436" s="62"/>
      <c r="E436" s="58">
        <v>2</v>
      </c>
      <c r="F436" s="55" t="s">
        <v>624</v>
      </c>
      <c r="G436" s="53"/>
      <c r="H436" s="53"/>
      <c r="I436" s="53"/>
    </row>
    <row r="437" spans="1:9" x14ac:dyDescent="0.3">
      <c r="A437" s="55">
        <v>434</v>
      </c>
      <c r="B437" s="30" t="s">
        <v>592</v>
      </c>
      <c r="C437" s="22" t="s">
        <v>68</v>
      </c>
      <c r="D437" s="62"/>
      <c r="E437" s="58">
        <v>2</v>
      </c>
      <c r="F437" s="55" t="s">
        <v>624</v>
      </c>
      <c r="G437" s="53"/>
      <c r="H437" s="53"/>
      <c r="I437" s="53"/>
    </row>
    <row r="438" spans="1:9" x14ac:dyDescent="0.3">
      <c r="A438" s="55">
        <v>435</v>
      </c>
      <c r="B438" s="30" t="s">
        <v>593</v>
      </c>
      <c r="C438" s="22" t="s">
        <v>68</v>
      </c>
      <c r="D438" s="62"/>
      <c r="E438" s="58">
        <v>2</v>
      </c>
      <c r="F438" s="55" t="s">
        <v>624</v>
      </c>
      <c r="G438" s="53"/>
      <c r="H438" s="53"/>
      <c r="I438" s="53"/>
    </row>
    <row r="439" spans="1:9" x14ac:dyDescent="0.3">
      <c r="A439" s="55">
        <v>436</v>
      </c>
      <c r="B439" s="30" t="s">
        <v>594</v>
      </c>
      <c r="C439" s="22" t="s">
        <v>68</v>
      </c>
      <c r="D439" s="62"/>
      <c r="E439" s="58">
        <v>2</v>
      </c>
      <c r="F439" s="55" t="s">
        <v>624</v>
      </c>
      <c r="G439" s="53"/>
      <c r="H439" s="53"/>
      <c r="I439" s="53"/>
    </row>
    <row r="440" spans="1:9" x14ac:dyDescent="0.3">
      <c r="A440" s="55">
        <v>437</v>
      </c>
      <c r="B440" s="30" t="s">
        <v>595</v>
      </c>
      <c r="C440" s="22" t="s">
        <v>68</v>
      </c>
      <c r="D440" s="62"/>
      <c r="E440" s="58">
        <v>3</v>
      </c>
      <c r="F440" s="55" t="s">
        <v>624</v>
      </c>
      <c r="G440" s="53"/>
      <c r="H440" s="53"/>
      <c r="I440" s="53"/>
    </row>
    <row r="441" spans="1:9" x14ac:dyDescent="0.3">
      <c r="A441" s="55">
        <v>438</v>
      </c>
      <c r="B441" s="30" t="s">
        <v>596</v>
      </c>
      <c r="C441" s="22" t="s">
        <v>68</v>
      </c>
      <c r="D441" s="62"/>
      <c r="E441" s="58">
        <v>1</v>
      </c>
      <c r="F441" s="55" t="s">
        <v>624</v>
      </c>
      <c r="G441" s="53"/>
      <c r="H441" s="53"/>
      <c r="I441" s="53"/>
    </row>
    <row r="442" spans="1:9" x14ac:dyDescent="0.3">
      <c r="A442" s="55">
        <v>439</v>
      </c>
      <c r="B442" s="30" t="s">
        <v>597</v>
      </c>
      <c r="C442" s="22" t="s">
        <v>68</v>
      </c>
      <c r="D442" s="62"/>
      <c r="E442" s="58">
        <v>1</v>
      </c>
      <c r="F442" s="55" t="s">
        <v>624</v>
      </c>
      <c r="G442" s="53"/>
      <c r="H442" s="53"/>
      <c r="I442" s="53"/>
    </row>
    <row r="443" spans="1:9" x14ac:dyDescent="0.3">
      <c r="A443" s="55">
        <v>440</v>
      </c>
      <c r="B443" s="30" t="s">
        <v>598</v>
      </c>
      <c r="C443" s="22" t="s">
        <v>68</v>
      </c>
      <c r="D443" s="62"/>
      <c r="E443" s="58">
        <v>1</v>
      </c>
      <c r="F443" s="55" t="s">
        <v>624</v>
      </c>
      <c r="G443" s="53"/>
      <c r="H443" s="53"/>
      <c r="I443" s="53"/>
    </row>
    <row r="444" spans="1:9" x14ac:dyDescent="0.3">
      <c r="A444" s="55">
        <v>441</v>
      </c>
      <c r="B444" s="30" t="s">
        <v>599</v>
      </c>
      <c r="C444" s="22" t="s">
        <v>68</v>
      </c>
      <c r="D444" s="62"/>
      <c r="E444" s="58">
        <v>1</v>
      </c>
      <c r="F444" s="55" t="s">
        <v>624</v>
      </c>
      <c r="G444" s="53"/>
      <c r="H444" s="53"/>
      <c r="I444" s="53"/>
    </row>
    <row r="445" spans="1:9" x14ac:dyDescent="0.3">
      <c r="A445" s="55">
        <v>442</v>
      </c>
      <c r="B445" s="30" t="s">
        <v>600</v>
      </c>
      <c r="C445" s="22" t="s">
        <v>68</v>
      </c>
      <c r="D445" s="62"/>
      <c r="E445" s="58">
        <v>1</v>
      </c>
      <c r="F445" s="55" t="s">
        <v>624</v>
      </c>
      <c r="G445" s="53"/>
      <c r="H445" s="53"/>
      <c r="I445" s="53"/>
    </row>
    <row r="446" spans="1:9" x14ac:dyDescent="0.3">
      <c r="A446" s="55">
        <v>443</v>
      </c>
      <c r="B446" s="30" t="s">
        <v>601</v>
      </c>
      <c r="C446" s="22" t="s">
        <v>68</v>
      </c>
      <c r="D446" s="62"/>
      <c r="E446" s="58">
        <v>1</v>
      </c>
      <c r="F446" s="55" t="s">
        <v>624</v>
      </c>
      <c r="G446" s="53"/>
      <c r="H446" s="53"/>
      <c r="I446" s="53"/>
    </row>
    <row r="447" spans="1:9" x14ac:dyDescent="0.3">
      <c r="A447" s="55">
        <v>444</v>
      </c>
      <c r="B447" s="30" t="s">
        <v>602</v>
      </c>
      <c r="C447" s="22" t="s">
        <v>68</v>
      </c>
      <c r="D447" s="62"/>
      <c r="E447" s="58">
        <v>1</v>
      </c>
      <c r="F447" s="55" t="s">
        <v>624</v>
      </c>
      <c r="G447" s="53"/>
      <c r="H447" s="53"/>
      <c r="I447" s="53"/>
    </row>
    <row r="448" spans="1:9" x14ac:dyDescent="0.3">
      <c r="A448" s="55">
        <v>445</v>
      </c>
      <c r="B448" s="30" t="s">
        <v>603</v>
      </c>
      <c r="C448" s="22" t="s">
        <v>69</v>
      </c>
      <c r="D448" s="62"/>
      <c r="E448" s="58">
        <v>1</v>
      </c>
      <c r="F448" s="55" t="s">
        <v>624</v>
      </c>
      <c r="G448" s="53"/>
      <c r="H448" s="53"/>
      <c r="I448" s="53"/>
    </row>
    <row r="449" spans="1:9" x14ac:dyDescent="0.3">
      <c r="A449" s="55">
        <v>446</v>
      </c>
      <c r="B449" s="30" t="s">
        <v>604</v>
      </c>
      <c r="C449" s="22" t="s">
        <v>69</v>
      </c>
      <c r="D449" s="62"/>
      <c r="E449" s="58">
        <v>2</v>
      </c>
      <c r="F449" s="55" t="s">
        <v>624</v>
      </c>
      <c r="G449" s="53"/>
      <c r="H449" s="53"/>
      <c r="I449" s="53"/>
    </row>
    <row r="450" spans="1:9" x14ac:dyDescent="0.3">
      <c r="A450" s="55">
        <v>447</v>
      </c>
      <c r="B450" s="30" t="s">
        <v>605</v>
      </c>
      <c r="C450" s="22" t="s">
        <v>69</v>
      </c>
      <c r="D450" s="62"/>
      <c r="E450" s="58">
        <v>2</v>
      </c>
      <c r="F450" s="55" t="s">
        <v>624</v>
      </c>
      <c r="G450" s="53"/>
      <c r="H450" s="53"/>
      <c r="I450" s="53"/>
    </row>
    <row r="451" spans="1:9" x14ac:dyDescent="0.3">
      <c r="A451" s="55">
        <v>448</v>
      </c>
      <c r="B451" s="30" t="s">
        <v>607</v>
      </c>
      <c r="C451" s="22" t="s">
        <v>69</v>
      </c>
      <c r="D451" s="62"/>
      <c r="E451" s="58">
        <v>2</v>
      </c>
      <c r="F451" s="55" t="s">
        <v>624</v>
      </c>
      <c r="G451" s="53"/>
      <c r="H451" s="53"/>
      <c r="I451" s="53"/>
    </row>
    <row r="452" spans="1:9" x14ac:dyDescent="0.3">
      <c r="A452" s="55">
        <v>449</v>
      </c>
      <c r="B452" s="30" t="s">
        <v>606</v>
      </c>
      <c r="C452" s="22" t="s">
        <v>69</v>
      </c>
      <c r="D452" s="62"/>
      <c r="E452" s="58">
        <v>1</v>
      </c>
      <c r="F452" s="55" t="s">
        <v>624</v>
      </c>
      <c r="G452" s="53"/>
      <c r="H452" s="53"/>
      <c r="I452" s="53"/>
    </row>
    <row r="453" spans="1:9" x14ac:dyDescent="0.3">
      <c r="A453" s="55">
        <v>450</v>
      </c>
      <c r="B453" s="30" t="s">
        <v>608</v>
      </c>
      <c r="C453" s="22" t="s">
        <v>69</v>
      </c>
      <c r="D453" s="62"/>
      <c r="E453" s="58">
        <v>1</v>
      </c>
      <c r="F453" s="55" t="s">
        <v>624</v>
      </c>
      <c r="G453" s="53"/>
      <c r="H453" s="53"/>
      <c r="I453" s="53"/>
    </row>
    <row r="454" spans="1:9" x14ac:dyDescent="0.3">
      <c r="A454" s="55">
        <v>451</v>
      </c>
      <c r="B454" s="30" t="s">
        <v>609</v>
      </c>
      <c r="C454" s="22" t="s">
        <v>70</v>
      </c>
      <c r="D454" s="62"/>
      <c r="E454" s="58">
        <v>2</v>
      </c>
      <c r="F454" s="55" t="s">
        <v>624</v>
      </c>
      <c r="G454" s="53"/>
      <c r="H454" s="53"/>
      <c r="I454" s="53"/>
    </row>
    <row r="455" spans="1:9" x14ac:dyDescent="0.3">
      <c r="A455" s="55">
        <v>452</v>
      </c>
      <c r="B455" s="30" t="s">
        <v>610</v>
      </c>
      <c r="C455" s="22" t="s">
        <v>70</v>
      </c>
      <c r="D455" s="62"/>
      <c r="E455" s="58">
        <v>2</v>
      </c>
      <c r="F455" s="55" t="s">
        <v>624</v>
      </c>
      <c r="G455" s="53"/>
      <c r="H455" s="53"/>
      <c r="I455" s="53"/>
    </row>
    <row r="456" spans="1:9" x14ac:dyDescent="0.3">
      <c r="A456" s="55">
        <v>453</v>
      </c>
      <c r="B456" s="30" t="s">
        <v>611</v>
      </c>
      <c r="C456" s="22" t="s">
        <v>70</v>
      </c>
      <c r="D456" s="62"/>
      <c r="E456" s="58">
        <v>2</v>
      </c>
      <c r="F456" s="55" t="s">
        <v>624</v>
      </c>
      <c r="G456" s="53"/>
      <c r="H456" s="53"/>
      <c r="I456" s="53"/>
    </row>
    <row r="457" spans="1:9" x14ac:dyDescent="0.3">
      <c r="A457" s="55">
        <v>454</v>
      </c>
      <c r="B457" s="30" t="s">
        <v>612</v>
      </c>
      <c r="C457" s="22" t="s">
        <v>70</v>
      </c>
      <c r="D457" s="62"/>
      <c r="E457" s="58">
        <v>2</v>
      </c>
      <c r="F457" s="55" t="s">
        <v>624</v>
      </c>
      <c r="G457" s="53"/>
      <c r="H457" s="53"/>
      <c r="I457" s="53"/>
    </row>
    <row r="458" spans="1:9" x14ac:dyDescent="0.3">
      <c r="A458" s="55">
        <v>455</v>
      </c>
      <c r="B458" s="30" t="s">
        <v>613</v>
      </c>
      <c r="C458" s="22" t="s">
        <v>70</v>
      </c>
      <c r="D458" s="62"/>
      <c r="E458" s="58">
        <v>2</v>
      </c>
      <c r="F458" s="55" t="s">
        <v>624</v>
      </c>
      <c r="G458" s="53"/>
      <c r="H458" s="53"/>
      <c r="I458" s="53"/>
    </row>
    <row r="459" spans="1:9" x14ac:dyDescent="0.3">
      <c r="A459" s="55">
        <v>456</v>
      </c>
      <c r="B459" s="30" t="s">
        <v>614</v>
      </c>
      <c r="C459" s="21" t="s">
        <v>71</v>
      </c>
      <c r="D459" s="62"/>
      <c r="E459" s="58">
        <v>4</v>
      </c>
      <c r="F459" s="55" t="s">
        <v>624</v>
      </c>
      <c r="G459" s="53"/>
      <c r="H459" s="53"/>
      <c r="I459" s="53"/>
    </row>
    <row r="460" spans="1:9" x14ac:dyDescent="0.3">
      <c r="A460" s="55">
        <v>457</v>
      </c>
      <c r="B460" s="30" t="s">
        <v>615</v>
      </c>
      <c r="C460" s="21" t="s">
        <v>71</v>
      </c>
      <c r="D460" s="62"/>
      <c r="E460" s="58">
        <v>4</v>
      </c>
      <c r="F460" s="55" t="s">
        <v>624</v>
      </c>
      <c r="G460" s="53"/>
      <c r="H460" s="53"/>
      <c r="I460" s="53"/>
    </row>
    <row r="461" spans="1:9" x14ac:dyDescent="0.3">
      <c r="A461" s="55">
        <v>458</v>
      </c>
      <c r="B461" s="30" t="s">
        <v>616</v>
      </c>
      <c r="C461" s="21" t="s">
        <v>72</v>
      </c>
      <c r="D461" s="62"/>
      <c r="E461" s="58">
        <v>9</v>
      </c>
      <c r="F461" s="55" t="s">
        <v>624</v>
      </c>
      <c r="G461" s="53"/>
      <c r="H461" s="53"/>
      <c r="I461" s="53"/>
    </row>
    <row r="462" spans="1:9" x14ac:dyDescent="0.3">
      <c r="A462" s="55">
        <v>459</v>
      </c>
      <c r="B462" s="30" t="s">
        <v>617</v>
      </c>
      <c r="C462" s="21" t="s">
        <v>72</v>
      </c>
      <c r="D462" s="62"/>
      <c r="E462" s="58">
        <v>9</v>
      </c>
      <c r="F462" s="55" t="s">
        <v>624</v>
      </c>
      <c r="G462" s="53"/>
      <c r="H462" s="53"/>
      <c r="I462" s="53"/>
    </row>
  </sheetData>
  <dataValidations count="2">
    <dataValidation type="list" allowBlank="1" showInputMessage="1" showErrorMessage="1" sqref="F4:H462" xr:uid="{E84DC459-C0D1-4E34-B459-479FCA32A9FB}">
      <formula1>$L$4:$L$7</formula1>
    </dataValidation>
    <dataValidation type="list" allowBlank="1" showInputMessage="1" showErrorMessage="1" sqref="D4:E462" xr:uid="{2D1B870B-6817-47E3-B266-0F0051B47E96}">
      <formula1>$K$4:$K$7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E103-D6A1-41C7-8847-14D42E7D4FEA}">
  <dimension ref="A1:L12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9" sqref="E9"/>
    </sheetView>
  </sheetViews>
  <sheetFormatPr defaultRowHeight="14.4" x14ac:dyDescent="0.3"/>
  <cols>
    <col min="1" max="1" width="5.77734375" customWidth="1"/>
    <col min="2" max="2" width="16.77734375" style="191" customWidth="1"/>
    <col min="3" max="3" width="10.44140625" style="23" bestFit="1" customWidth="1"/>
    <col min="4" max="4" width="12.44140625" style="23" customWidth="1"/>
    <col min="5" max="5" width="9.33203125" style="18" bestFit="1" customWidth="1"/>
    <col min="6" max="6" width="13.6640625" style="15" bestFit="1" customWidth="1"/>
    <col min="7" max="7" width="14" bestFit="1" customWidth="1"/>
    <col min="8" max="8" width="16.21875" customWidth="1"/>
    <col min="9" max="9" width="12.5546875" customWidth="1"/>
    <col min="11" max="11" width="20.44140625" bestFit="1" customWidth="1"/>
    <col min="12" max="12" width="16.109375" bestFit="1" customWidth="1"/>
  </cols>
  <sheetData>
    <row r="1" spans="1:12" s="37" customFormat="1" ht="15.6" x14ac:dyDescent="0.3">
      <c r="A1" s="33" t="s">
        <v>1633</v>
      </c>
      <c r="B1" s="190"/>
      <c r="C1" s="73"/>
      <c r="D1" s="73"/>
      <c r="E1" s="36"/>
      <c r="F1" s="34"/>
      <c r="G1" s="17"/>
      <c r="H1" s="17"/>
      <c r="I1" s="33"/>
    </row>
    <row r="2" spans="1:12" s="37" customFormat="1" ht="15.6" x14ac:dyDescent="0.3">
      <c r="A2" s="33"/>
      <c r="B2" s="190"/>
      <c r="C2" s="73"/>
      <c r="D2" s="73"/>
      <c r="E2" s="36"/>
      <c r="F2" s="34"/>
      <c r="G2"/>
      <c r="H2"/>
      <c r="I2" s="33"/>
      <c r="K2" s="17" t="s">
        <v>681</v>
      </c>
    </row>
    <row r="3" spans="1:12" s="18" customFormat="1" ht="24.6" customHeight="1" x14ac:dyDescent="0.3">
      <c r="A3" s="192" t="s">
        <v>79</v>
      </c>
      <c r="B3" s="233" t="s">
        <v>1600</v>
      </c>
      <c r="C3" s="234" t="s">
        <v>1601</v>
      </c>
      <c r="D3" s="234" t="s">
        <v>1603</v>
      </c>
      <c r="E3" s="193" t="s">
        <v>1602</v>
      </c>
      <c r="F3" s="192" t="s">
        <v>97</v>
      </c>
      <c r="G3" s="192" t="s">
        <v>713</v>
      </c>
      <c r="H3" s="192" t="s">
        <v>1598</v>
      </c>
      <c r="I3" s="192" t="s">
        <v>3</v>
      </c>
      <c r="K3" s="49" t="s">
        <v>710</v>
      </c>
      <c r="L3" s="49" t="s">
        <v>97</v>
      </c>
    </row>
    <row r="4" spans="1:12" x14ac:dyDescent="0.3">
      <c r="A4" s="15">
        <v>1</v>
      </c>
      <c r="B4" s="194" t="s">
        <v>1604</v>
      </c>
      <c r="C4" s="12" t="s">
        <v>1613</v>
      </c>
      <c r="D4" s="12" t="s">
        <v>1622</v>
      </c>
      <c r="E4" s="13">
        <v>17</v>
      </c>
      <c r="F4" s="15" t="s">
        <v>624</v>
      </c>
      <c r="K4" t="s">
        <v>687</v>
      </c>
      <c r="L4" t="s">
        <v>624</v>
      </c>
    </row>
    <row r="5" spans="1:12" x14ac:dyDescent="0.3">
      <c r="A5" s="195">
        <v>2</v>
      </c>
      <c r="B5" s="196" t="s">
        <v>1605</v>
      </c>
      <c r="C5" s="197" t="s">
        <v>1614</v>
      </c>
      <c r="D5" s="197" t="s">
        <v>1622</v>
      </c>
      <c r="E5" s="198">
        <v>10</v>
      </c>
      <c r="F5" s="195" t="s">
        <v>624</v>
      </c>
      <c r="G5" s="199"/>
      <c r="H5" s="199"/>
      <c r="I5" s="199"/>
      <c r="K5" t="s">
        <v>688</v>
      </c>
      <c r="L5" t="s">
        <v>636</v>
      </c>
    </row>
    <row r="6" spans="1:12" x14ac:dyDescent="0.3">
      <c r="A6" s="15">
        <v>3</v>
      </c>
      <c r="B6" s="194" t="s">
        <v>1606</v>
      </c>
      <c r="C6" s="12" t="s">
        <v>1615</v>
      </c>
      <c r="D6" s="12" t="s">
        <v>1622</v>
      </c>
      <c r="E6" s="13">
        <v>10</v>
      </c>
      <c r="F6" s="15" t="s">
        <v>624</v>
      </c>
      <c r="K6" t="s">
        <v>711</v>
      </c>
      <c r="L6" t="s">
        <v>682</v>
      </c>
    </row>
    <row r="7" spans="1:12" x14ac:dyDescent="0.3">
      <c r="A7" s="195">
        <v>4</v>
      </c>
      <c r="B7" s="196" t="s">
        <v>1607</v>
      </c>
      <c r="C7" s="197" t="s">
        <v>1616</v>
      </c>
      <c r="D7" s="197" t="s">
        <v>1622</v>
      </c>
      <c r="E7" s="198">
        <v>10</v>
      </c>
      <c r="F7" s="195" t="s">
        <v>624</v>
      </c>
      <c r="G7" s="199"/>
      <c r="H7" s="199"/>
      <c r="I7" s="199"/>
    </row>
    <row r="8" spans="1:12" x14ac:dyDescent="0.3">
      <c r="A8" s="15">
        <v>5</v>
      </c>
      <c r="B8" s="194" t="s">
        <v>1608</v>
      </c>
      <c r="C8" s="12" t="s">
        <v>1617</v>
      </c>
      <c r="D8" s="12" t="s">
        <v>1622</v>
      </c>
      <c r="E8" s="13">
        <v>30</v>
      </c>
      <c r="F8" s="15" t="s">
        <v>624</v>
      </c>
    </row>
    <row r="9" spans="1:12" x14ac:dyDescent="0.3">
      <c r="A9" s="195">
        <v>6</v>
      </c>
      <c r="B9" s="196" t="s">
        <v>1609</v>
      </c>
      <c r="C9" s="197" t="s">
        <v>1618</v>
      </c>
      <c r="D9" s="197" t="s">
        <v>1622</v>
      </c>
      <c r="E9" s="198">
        <v>50</v>
      </c>
      <c r="F9" s="195" t="s">
        <v>624</v>
      </c>
      <c r="G9" s="199"/>
      <c r="H9" s="199"/>
      <c r="I9" s="199"/>
    </row>
    <row r="10" spans="1:12" x14ac:dyDescent="0.3">
      <c r="A10" s="15">
        <v>7</v>
      </c>
      <c r="B10" s="194" t="s">
        <v>1610</v>
      </c>
      <c r="C10" s="12" t="s">
        <v>1619</v>
      </c>
      <c r="D10" s="12" t="s">
        <v>1622</v>
      </c>
      <c r="E10" s="13">
        <v>40</v>
      </c>
      <c r="F10" s="15" t="s">
        <v>624</v>
      </c>
    </row>
    <row r="11" spans="1:12" x14ac:dyDescent="0.3">
      <c r="A11" s="195">
        <v>8</v>
      </c>
      <c r="B11" s="196" t="s">
        <v>1611</v>
      </c>
      <c r="C11" s="197" t="s">
        <v>1620</v>
      </c>
      <c r="D11" s="197" t="s">
        <v>1622</v>
      </c>
      <c r="E11" s="198">
        <v>50</v>
      </c>
      <c r="F11" s="195" t="s">
        <v>624</v>
      </c>
      <c r="G11" s="199"/>
      <c r="H11" s="199"/>
      <c r="I11" s="199"/>
    </row>
    <row r="12" spans="1:12" x14ac:dyDescent="0.3">
      <c r="A12" s="15">
        <v>9</v>
      </c>
      <c r="B12" s="194" t="s">
        <v>1612</v>
      </c>
      <c r="C12" s="12" t="s">
        <v>1621</v>
      </c>
      <c r="D12" s="12" t="s">
        <v>1622</v>
      </c>
      <c r="E12" s="13">
        <v>60</v>
      </c>
      <c r="F12" s="15" t="s">
        <v>624</v>
      </c>
    </row>
  </sheetData>
  <phoneticPr fontId="8" type="noConversion"/>
  <dataValidations count="1">
    <dataValidation type="list" allowBlank="1" showInputMessage="1" showErrorMessage="1" sqref="F4:H12" xr:uid="{50F5C25B-E845-4027-83EF-7740A673629D}">
      <formula1>$L$4:$L$7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B440-0A81-4DDF-B953-921477178555}">
  <dimension ref="A1:I16"/>
  <sheetViews>
    <sheetView workbookViewId="0">
      <pane xSplit="7" ySplit="3" topLeftCell="H4" activePane="bottomRight" state="frozen"/>
      <selection pane="topRight" activeCell="F1" sqref="F1"/>
      <selection pane="bottomLeft" activeCell="A4" sqref="A4"/>
      <selection pane="bottomRight" activeCell="B3" sqref="B3"/>
    </sheetView>
  </sheetViews>
  <sheetFormatPr defaultRowHeight="14.4" x14ac:dyDescent="0.3"/>
  <cols>
    <col min="1" max="1" width="6.44140625" style="15" customWidth="1"/>
    <col min="2" max="2" width="26.33203125" bestFit="1" customWidth="1"/>
    <col min="3" max="3" width="20.109375" bestFit="1" customWidth="1"/>
    <col min="4" max="4" width="15.6640625" bestFit="1" customWidth="1"/>
    <col min="5" max="5" width="11.88671875" customWidth="1"/>
    <col min="6" max="6" width="13.6640625" customWidth="1"/>
    <col min="7" max="7" width="11.6640625" customWidth="1"/>
    <col min="9" max="9" width="16.109375" bestFit="1" customWidth="1"/>
    <col min="11" max="11" width="16.109375" bestFit="1" customWidth="1"/>
  </cols>
  <sheetData>
    <row r="1" spans="1:9" s="63" customFormat="1" ht="15.6" x14ac:dyDescent="0.3">
      <c r="A1" s="63" t="s">
        <v>716</v>
      </c>
    </row>
    <row r="2" spans="1:9" x14ac:dyDescent="0.3">
      <c r="I2" s="17" t="s">
        <v>681</v>
      </c>
    </row>
    <row r="3" spans="1:9" s="32" customFormat="1" ht="28.8" x14ac:dyDescent="0.3">
      <c r="A3" s="41" t="s">
        <v>79</v>
      </c>
      <c r="B3" s="41" t="s">
        <v>651</v>
      </c>
      <c r="C3" s="41" t="s">
        <v>646</v>
      </c>
      <c r="D3" s="41" t="s">
        <v>98</v>
      </c>
      <c r="E3" s="50" t="s">
        <v>713</v>
      </c>
      <c r="F3" s="50" t="s">
        <v>1598</v>
      </c>
      <c r="G3" s="41" t="s">
        <v>3</v>
      </c>
      <c r="I3" s="49" t="s">
        <v>98</v>
      </c>
    </row>
    <row r="4" spans="1:9" x14ac:dyDescent="0.3">
      <c r="A4" s="55">
        <v>1</v>
      </c>
      <c r="B4" s="53" t="s">
        <v>640</v>
      </c>
      <c r="C4" s="14" t="s">
        <v>4</v>
      </c>
      <c r="D4" s="53" t="s">
        <v>624</v>
      </c>
      <c r="E4" s="53"/>
      <c r="F4" s="53"/>
      <c r="G4" s="53"/>
      <c r="I4" t="s">
        <v>624</v>
      </c>
    </row>
    <row r="5" spans="1:9" x14ac:dyDescent="0.3">
      <c r="A5" s="55">
        <v>2</v>
      </c>
      <c r="B5" s="53" t="s">
        <v>621</v>
      </c>
      <c r="C5" s="14" t="s">
        <v>4</v>
      </c>
      <c r="D5" s="53" t="s">
        <v>636</v>
      </c>
      <c r="E5" s="53"/>
      <c r="F5" s="53"/>
      <c r="G5" s="53"/>
      <c r="I5" t="s">
        <v>636</v>
      </c>
    </row>
    <row r="6" spans="1:9" x14ac:dyDescent="0.3">
      <c r="A6" s="55">
        <v>3</v>
      </c>
      <c r="B6" s="53" t="s">
        <v>622</v>
      </c>
      <c r="C6" s="14" t="s">
        <v>28</v>
      </c>
      <c r="D6" s="53" t="s">
        <v>624</v>
      </c>
      <c r="E6" s="53"/>
      <c r="F6" s="53"/>
      <c r="G6" s="53"/>
      <c r="I6" t="s">
        <v>682</v>
      </c>
    </row>
    <row r="7" spans="1:9" x14ac:dyDescent="0.3">
      <c r="A7" s="55">
        <v>4</v>
      </c>
      <c r="B7" s="53" t="s">
        <v>642</v>
      </c>
      <c r="C7" s="14" t="s">
        <v>30</v>
      </c>
      <c r="D7" s="53" t="s">
        <v>624</v>
      </c>
      <c r="E7" s="53"/>
      <c r="F7" s="53"/>
      <c r="G7" s="53"/>
    </row>
    <row r="8" spans="1:9" x14ac:dyDescent="0.3">
      <c r="A8" s="55">
        <v>5</v>
      </c>
      <c r="B8" s="53" t="s">
        <v>623</v>
      </c>
      <c r="C8" s="14" t="s">
        <v>39</v>
      </c>
      <c r="D8" s="53" t="s">
        <v>624</v>
      </c>
      <c r="E8" s="53"/>
      <c r="F8" s="53"/>
      <c r="G8" s="53"/>
    </row>
    <row r="9" spans="1:9" x14ac:dyDescent="0.3">
      <c r="A9" s="55">
        <v>6</v>
      </c>
      <c r="B9" s="53" t="s">
        <v>639</v>
      </c>
      <c r="C9" s="14" t="s">
        <v>39</v>
      </c>
      <c r="D9" s="53" t="s">
        <v>624</v>
      </c>
      <c r="E9" s="53"/>
      <c r="F9" s="53"/>
      <c r="G9" s="53"/>
    </row>
    <row r="10" spans="1:9" x14ac:dyDescent="0.3">
      <c r="A10" s="55">
        <v>7</v>
      </c>
      <c r="B10" s="53" t="s">
        <v>638</v>
      </c>
      <c r="C10" s="14" t="s">
        <v>39</v>
      </c>
      <c r="D10" s="53" t="s">
        <v>624</v>
      </c>
      <c r="E10" s="53"/>
      <c r="F10" s="53"/>
      <c r="G10" s="53"/>
    </row>
    <row r="11" spans="1:9" x14ac:dyDescent="0.3">
      <c r="A11" s="55">
        <v>8</v>
      </c>
      <c r="B11" s="53" t="s">
        <v>645</v>
      </c>
      <c r="C11" s="14" t="s">
        <v>647</v>
      </c>
      <c r="D11" s="53" t="s">
        <v>624</v>
      </c>
      <c r="E11" s="53"/>
      <c r="F11" s="53"/>
      <c r="G11" s="53"/>
    </row>
    <row r="12" spans="1:9" x14ac:dyDescent="0.3">
      <c r="A12" s="55">
        <v>9</v>
      </c>
      <c r="B12" s="53" t="s">
        <v>643</v>
      </c>
      <c r="C12" s="14" t="s">
        <v>649</v>
      </c>
      <c r="D12" s="53" t="s">
        <v>624</v>
      </c>
      <c r="E12" s="53"/>
      <c r="F12" s="53"/>
      <c r="G12" s="53"/>
    </row>
    <row r="13" spans="1:9" x14ac:dyDescent="0.3">
      <c r="A13" s="55">
        <v>10</v>
      </c>
      <c r="B13" s="53" t="s">
        <v>644</v>
      </c>
      <c r="C13" s="57" t="s">
        <v>67</v>
      </c>
      <c r="D13" s="53" t="s">
        <v>624</v>
      </c>
      <c r="E13" s="53"/>
      <c r="F13" s="53"/>
      <c r="G13" s="53"/>
    </row>
    <row r="14" spans="1:9" x14ac:dyDescent="0.3">
      <c r="A14" s="55">
        <v>11</v>
      </c>
      <c r="B14" s="53" t="s">
        <v>641</v>
      </c>
      <c r="C14" s="14" t="s">
        <v>648</v>
      </c>
      <c r="D14" s="53" t="s">
        <v>624</v>
      </c>
      <c r="E14" s="53"/>
      <c r="F14" s="53"/>
      <c r="G14" s="53"/>
    </row>
    <row r="15" spans="1:9" x14ac:dyDescent="0.3">
      <c r="A15" s="55">
        <v>12</v>
      </c>
      <c r="B15" s="53" t="s">
        <v>769</v>
      </c>
      <c r="C15" s="14" t="s">
        <v>649</v>
      </c>
      <c r="D15" s="53" t="s">
        <v>624</v>
      </c>
      <c r="E15" s="53"/>
      <c r="F15" s="53"/>
      <c r="G15" s="53"/>
    </row>
    <row r="16" spans="1:9" x14ac:dyDescent="0.3">
      <c r="A16" s="55">
        <v>13</v>
      </c>
      <c r="B16" s="53" t="s">
        <v>652</v>
      </c>
      <c r="C16" s="53"/>
      <c r="D16" s="53"/>
      <c r="E16" s="53"/>
      <c r="F16" s="53"/>
      <c r="G16" s="53"/>
    </row>
  </sheetData>
  <sortState xmlns:xlrd2="http://schemas.microsoft.com/office/spreadsheetml/2017/richdata2" ref="B4:B16">
    <sortCondition ref="B4:B16"/>
  </sortState>
  <phoneticPr fontId="8" type="noConversion"/>
  <dataValidations count="1">
    <dataValidation type="list" allowBlank="1" showInputMessage="1" showErrorMessage="1" sqref="D4:F16" xr:uid="{58D29D52-0CF4-4ADF-9270-6196C9114E53}">
      <formula1>$I$4:$I$7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F755-EBBA-4F29-AA49-4E21BE6381D8}">
  <dimension ref="A1:I6"/>
  <sheetViews>
    <sheetView workbookViewId="0">
      <selection activeCell="B3" sqref="B3"/>
    </sheetView>
  </sheetViews>
  <sheetFormatPr defaultRowHeight="14.4" x14ac:dyDescent="0.3"/>
  <cols>
    <col min="1" max="1" width="6.21875" style="15" customWidth="1"/>
    <col min="2" max="2" width="23.109375" bestFit="1" customWidth="1"/>
    <col min="3" max="3" width="18" bestFit="1" customWidth="1"/>
    <col min="5" max="5" width="14.5546875" customWidth="1"/>
    <col min="6" max="6" width="16.44140625" customWidth="1"/>
    <col min="7" max="7" width="11.5546875" customWidth="1"/>
    <col min="9" max="9" width="15.6640625" bestFit="1" customWidth="1"/>
  </cols>
  <sheetData>
    <row r="1" spans="1:9" s="63" customFormat="1" ht="15.6" x14ac:dyDescent="0.3">
      <c r="A1" s="63" t="s">
        <v>1570</v>
      </c>
    </row>
    <row r="2" spans="1:9" x14ac:dyDescent="0.3">
      <c r="I2" s="17" t="s">
        <v>681</v>
      </c>
    </row>
    <row r="3" spans="1:9" s="32" customFormat="1" ht="28.8" x14ac:dyDescent="0.3">
      <c r="A3" s="41" t="s">
        <v>79</v>
      </c>
      <c r="B3" s="41" t="s">
        <v>674</v>
      </c>
      <c r="C3" s="41" t="s">
        <v>646</v>
      </c>
      <c r="D3" s="41" t="s">
        <v>670</v>
      </c>
      <c r="E3" s="50" t="s">
        <v>713</v>
      </c>
      <c r="F3" s="50" t="s">
        <v>1598</v>
      </c>
      <c r="G3" s="41" t="s">
        <v>3</v>
      </c>
      <c r="I3" s="49" t="s">
        <v>670</v>
      </c>
    </row>
    <row r="4" spans="1:9" x14ac:dyDescent="0.3">
      <c r="A4" s="55">
        <v>1</v>
      </c>
      <c r="B4" s="53" t="s">
        <v>671</v>
      </c>
      <c r="C4" s="14" t="s">
        <v>4</v>
      </c>
      <c r="D4" s="53"/>
      <c r="E4" s="53"/>
      <c r="F4" s="53"/>
      <c r="G4" s="53"/>
      <c r="I4" t="s">
        <v>624</v>
      </c>
    </row>
    <row r="5" spans="1:9" x14ac:dyDescent="0.3">
      <c r="A5" s="55">
        <v>2</v>
      </c>
      <c r="B5" s="53" t="s">
        <v>672</v>
      </c>
      <c r="C5" s="14" t="s">
        <v>30</v>
      </c>
      <c r="D5" s="53"/>
      <c r="E5" s="53"/>
      <c r="F5" s="53"/>
      <c r="G5" s="53"/>
      <c r="I5" t="s">
        <v>636</v>
      </c>
    </row>
    <row r="6" spans="1:9" x14ac:dyDescent="0.3">
      <c r="A6" s="55">
        <v>3</v>
      </c>
      <c r="B6" s="53" t="s">
        <v>675</v>
      </c>
      <c r="C6" s="14" t="s">
        <v>4</v>
      </c>
      <c r="D6" s="53"/>
      <c r="E6" s="53"/>
      <c r="F6" s="53"/>
      <c r="G6" s="53"/>
      <c r="I6" t="s">
        <v>682</v>
      </c>
    </row>
  </sheetData>
  <phoneticPr fontId="8" type="noConversion"/>
  <dataValidations count="1">
    <dataValidation type="list" allowBlank="1" showInputMessage="1" showErrorMessage="1" sqref="D4:F6" xr:uid="{CDDCB325-0897-46FD-AD96-5CCE6D864896}">
      <formula1>$I$4:$I$7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7E9C-1054-40C0-9338-B861AE2DF1B2}">
  <dimension ref="A1:I22"/>
  <sheetViews>
    <sheetView workbookViewId="0">
      <selection activeCell="H3" sqref="H3"/>
    </sheetView>
  </sheetViews>
  <sheetFormatPr defaultRowHeight="14.4" x14ac:dyDescent="0.3"/>
  <cols>
    <col min="1" max="1" width="7.77734375" style="15" customWidth="1"/>
    <col min="2" max="2" width="8.109375" bestFit="1" customWidth="1"/>
    <col min="3" max="3" width="15.77734375" bestFit="1" customWidth="1"/>
    <col min="4" max="4" width="33.21875" bestFit="1" customWidth="1"/>
    <col min="5" max="5" width="21.88671875" bestFit="1" customWidth="1"/>
    <col min="6" max="6" width="14.109375" bestFit="1" customWidth="1"/>
    <col min="7" max="7" width="11.21875" bestFit="1" customWidth="1"/>
    <col min="8" max="8" width="13.5546875" bestFit="1" customWidth="1"/>
    <col min="9" max="9" width="9.33203125" bestFit="1" customWidth="1"/>
  </cols>
  <sheetData>
    <row r="1" spans="1:9" s="33" customFormat="1" ht="15.6" x14ac:dyDescent="0.3">
      <c r="A1" s="63" t="s">
        <v>717</v>
      </c>
    </row>
    <row r="3" spans="1:9" s="32" customFormat="1" ht="28.8" x14ac:dyDescent="0.3">
      <c r="A3" s="41" t="s">
        <v>79</v>
      </c>
      <c r="B3" s="41" t="s">
        <v>629</v>
      </c>
      <c r="C3" s="48" t="s">
        <v>99</v>
      </c>
      <c r="D3" s="48" t="s">
        <v>632</v>
      </c>
      <c r="E3" s="41" t="s">
        <v>676</v>
      </c>
      <c r="F3" s="41" t="s">
        <v>658</v>
      </c>
      <c r="G3" s="50" t="s">
        <v>713</v>
      </c>
      <c r="H3" s="50" t="s">
        <v>1598</v>
      </c>
      <c r="I3" s="41" t="s">
        <v>3</v>
      </c>
    </row>
    <row r="4" spans="1:9" x14ac:dyDescent="0.3">
      <c r="A4" s="6">
        <v>1</v>
      </c>
      <c r="B4" s="64" t="s">
        <v>160</v>
      </c>
      <c r="C4" s="6" t="s">
        <v>82</v>
      </c>
      <c r="D4" s="5" t="s">
        <v>5</v>
      </c>
      <c r="E4" s="65" t="s">
        <v>736</v>
      </c>
      <c r="F4" s="14" t="s">
        <v>677</v>
      </c>
      <c r="G4" s="14"/>
      <c r="H4" s="14"/>
      <c r="I4" s="53"/>
    </row>
    <row r="5" spans="1:9" x14ac:dyDescent="0.3">
      <c r="A5" s="6">
        <v>2</v>
      </c>
      <c r="B5" s="64" t="s">
        <v>161</v>
      </c>
      <c r="C5" s="6" t="s">
        <v>82</v>
      </c>
      <c r="D5" s="5" t="s">
        <v>6</v>
      </c>
      <c r="E5" s="65" t="s">
        <v>737</v>
      </c>
      <c r="F5" s="14" t="s">
        <v>677</v>
      </c>
      <c r="G5" s="14"/>
      <c r="H5" s="14"/>
      <c r="I5" s="53"/>
    </row>
    <row r="6" spans="1:9" x14ac:dyDescent="0.3">
      <c r="A6" s="6">
        <v>3</v>
      </c>
      <c r="B6" s="64" t="s">
        <v>162</v>
      </c>
      <c r="C6" s="6" t="s">
        <v>83</v>
      </c>
      <c r="D6" s="5" t="s">
        <v>7</v>
      </c>
      <c r="E6" s="65" t="s">
        <v>738</v>
      </c>
      <c r="F6" s="14" t="s">
        <v>677</v>
      </c>
      <c r="G6" s="14"/>
      <c r="H6" s="14"/>
      <c r="I6" s="53"/>
    </row>
    <row r="7" spans="1:9" x14ac:dyDescent="0.3">
      <c r="A7" s="6">
        <v>4</v>
      </c>
      <c r="B7" s="64" t="s">
        <v>164</v>
      </c>
      <c r="C7" s="6" t="s">
        <v>84</v>
      </c>
      <c r="D7" s="5" t="s">
        <v>8</v>
      </c>
      <c r="E7" s="65" t="s">
        <v>739</v>
      </c>
      <c r="F7" s="14" t="s">
        <v>677</v>
      </c>
      <c r="G7" s="14"/>
      <c r="H7" s="14"/>
      <c r="I7" s="53"/>
    </row>
    <row r="8" spans="1:9" x14ac:dyDescent="0.3">
      <c r="A8" s="6">
        <v>5</v>
      </c>
      <c r="B8" s="64" t="s">
        <v>165</v>
      </c>
      <c r="C8" s="6" t="s">
        <v>84</v>
      </c>
      <c r="D8" s="5" t="s">
        <v>10</v>
      </c>
      <c r="E8" s="65" t="s">
        <v>740</v>
      </c>
      <c r="F8" s="14" t="s">
        <v>677</v>
      </c>
      <c r="G8" s="14"/>
      <c r="H8" s="14"/>
      <c r="I8" s="53"/>
    </row>
    <row r="9" spans="1:9" x14ac:dyDescent="0.3">
      <c r="A9" s="6">
        <v>6</v>
      </c>
      <c r="B9" s="64" t="s">
        <v>166</v>
      </c>
      <c r="C9" s="6" t="s">
        <v>85</v>
      </c>
      <c r="D9" s="5" t="s">
        <v>11</v>
      </c>
      <c r="E9" s="65" t="s">
        <v>741</v>
      </c>
      <c r="F9" s="14" t="s">
        <v>677</v>
      </c>
      <c r="G9" s="14"/>
      <c r="H9" s="14"/>
      <c r="I9" s="53"/>
    </row>
    <row r="10" spans="1:9" x14ac:dyDescent="0.3">
      <c r="A10" s="6">
        <v>7</v>
      </c>
      <c r="B10" s="64" t="s">
        <v>167</v>
      </c>
      <c r="C10" s="6" t="s">
        <v>85</v>
      </c>
      <c r="D10" s="5" t="s">
        <v>12</v>
      </c>
      <c r="E10" s="65" t="s">
        <v>743</v>
      </c>
      <c r="F10" s="14" t="s">
        <v>677</v>
      </c>
      <c r="G10" s="14"/>
      <c r="H10" s="14"/>
      <c r="I10" s="53"/>
    </row>
    <row r="11" spans="1:9" x14ac:dyDescent="0.3">
      <c r="A11" s="6">
        <v>8</v>
      </c>
      <c r="B11" s="64" t="s">
        <v>168</v>
      </c>
      <c r="C11" s="6" t="s">
        <v>86</v>
      </c>
      <c r="D11" s="5" t="s">
        <v>13</v>
      </c>
      <c r="E11" s="65" t="s">
        <v>742</v>
      </c>
      <c r="F11" s="14" t="s">
        <v>677</v>
      </c>
      <c r="G11" s="14"/>
      <c r="H11" s="14"/>
      <c r="I11" s="53"/>
    </row>
    <row r="12" spans="1:9" x14ac:dyDescent="0.3">
      <c r="A12" s="6">
        <v>9</v>
      </c>
      <c r="B12" s="64" t="s">
        <v>169</v>
      </c>
      <c r="C12" s="6" t="s">
        <v>86</v>
      </c>
      <c r="D12" s="5" t="s">
        <v>14</v>
      </c>
      <c r="E12" s="65" t="s">
        <v>744</v>
      </c>
      <c r="F12" s="14" t="s">
        <v>677</v>
      </c>
      <c r="G12" s="14"/>
      <c r="H12" s="14"/>
      <c r="I12" s="53"/>
    </row>
    <row r="13" spans="1:9" x14ac:dyDescent="0.3">
      <c r="A13" s="6">
        <v>10</v>
      </c>
      <c r="B13" s="64" t="s">
        <v>170</v>
      </c>
      <c r="C13" s="6" t="s">
        <v>87</v>
      </c>
      <c r="D13" s="5" t="s">
        <v>15</v>
      </c>
      <c r="E13" s="65" t="s">
        <v>745</v>
      </c>
      <c r="F13" s="14" t="s">
        <v>677</v>
      </c>
      <c r="G13" s="14"/>
      <c r="H13" s="14"/>
      <c r="I13" s="53"/>
    </row>
    <row r="14" spans="1:9" x14ac:dyDescent="0.3">
      <c r="A14" s="6">
        <v>11</v>
      </c>
      <c r="B14" s="64" t="s">
        <v>171</v>
      </c>
      <c r="C14" s="6" t="s">
        <v>87</v>
      </c>
      <c r="D14" s="5" t="s">
        <v>16</v>
      </c>
      <c r="E14" s="65" t="s">
        <v>746</v>
      </c>
      <c r="F14" s="14" t="s">
        <v>677</v>
      </c>
      <c r="G14" s="14"/>
      <c r="H14" s="14"/>
      <c r="I14" s="53"/>
    </row>
    <row r="15" spans="1:9" x14ac:dyDescent="0.3">
      <c r="A15" s="6">
        <v>12</v>
      </c>
      <c r="B15" s="64" t="s">
        <v>172</v>
      </c>
      <c r="C15" s="6" t="s">
        <v>88</v>
      </c>
      <c r="D15" s="5" t="s">
        <v>17</v>
      </c>
      <c r="E15" s="65" t="s">
        <v>747</v>
      </c>
      <c r="F15" s="14" t="s">
        <v>677</v>
      </c>
      <c r="G15" s="14"/>
      <c r="H15" s="14"/>
      <c r="I15" s="53"/>
    </row>
    <row r="16" spans="1:9" x14ac:dyDescent="0.3">
      <c r="A16" s="6">
        <v>13</v>
      </c>
      <c r="B16" s="64" t="s">
        <v>173</v>
      </c>
      <c r="C16" s="6" t="s">
        <v>88</v>
      </c>
      <c r="D16" s="5" t="s">
        <v>18</v>
      </c>
      <c r="E16" s="65" t="s">
        <v>748</v>
      </c>
      <c r="F16" s="14" t="s">
        <v>677</v>
      </c>
      <c r="G16" s="14"/>
      <c r="H16" s="14"/>
      <c r="I16" s="53"/>
    </row>
    <row r="17" spans="1:9" x14ac:dyDescent="0.3">
      <c r="A17" s="6">
        <v>14</v>
      </c>
      <c r="B17" s="64" t="s">
        <v>174</v>
      </c>
      <c r="C17" s="6" t="s">
        <v>89</v>
      </c>
      <c r="D17" s="5" t="s">
        <v>19</v>
      </c>
      <c r="E17" s="65" t="s">
        <v>749</v>
      </c>
      <c r="F17" s="14" t="s">
        <v>677</v>
      </c>
      <c r="G17" s="14"/>
      <c r="H17" s="14"/>
      <c r="I17" s="53"/>
    </row>
    <row r="18" spans="1:9" x14ac:dyDescent="0.3">
      <c r="A18" s="6">
        <v>15</v>
      </c>
      <c r="B18" s="64" t="s">
        <v>175</v>
      </c>
      <c r="C18" s="6" t="s">
        <v>89</v>
      </c>
      <c r="D18" s="5" t="s">
        <v>21</v>
      </c>
      <c r="E18" s="65" t="s">
        <v>750</v>
      </c>
      <c r="F18" s="14" t="s">
        <v>677</v>
      </c>
      <c r="G18" s="14"/>
      <c r="H18" s="14"/>
      <c r="I18" s="53"/>
    </row>
    <row r="19" spans="1:9" x14ac:dyDescent="0.3">
      <c r="A19" s="6">
        <v>16</v>
      </c>
      <c r="B19" s="64" t="s">
        <v>176</v>
      </c>
      <c r="C19" s="6" t="s">
        <v>90</v>
      </c>
      <c r="D19" s="5" t="s">
        <v>22</v>
      </c>
      <c r="E19" s="65" t="s">
        <v>751</v>
      </c>
      <c r="F19" s="14" t="s">
        <v>677</v>
      </c>
      <c r="G19" s="14"/>
      <c r="H19" s="14"/>
      <c r="I19" s="53"/>
    </row>
    <row r="20" spans="1:9" x14ac:dyDescent="0.3">
      <c r="A20" s="6">
        <v>17</v>
      </c>
      <c r="B20" s="64" t="s">
        <v>177</v>
      </c>
      <c r="C20" s="6" t="s">
        <v>90</v>
      </c>
      <c r="D20" s="5" t="s">
        <v>23</v>
      </c>
      <c r="E20" s="65" t="s">
        <v>752</v>
      </c>
      <c r="F20" s="14" t="s">
        <v>677</v>
      </c>
      <c r="G20" s="14"/>
      <c r="H20" s="14"/>
      <c r="I20" s="53"/>
    </row>
    <row r="21" spans="1:9" x14ac:dyDescent="0.3">
      <c r="A21" s="6">
        <v>18</v>
      </c>
      <c r="B21" s="64" t="s">
        <v>178</v>
      </c>
      <c r="C21" s="6" t="s">
        <v>91</v>
      </c>
      <c r="D21" s="5" t="s">
        <v>25</v>
      </c>
      <c r="E21" s="65" t="s">
        <v>753</v>
      </c>
      <c r="F21" s="14" t="s">
        <v>677</v>
      </c>
      <c r="G21" s="14"/>
      <c r="H21" s="14"/>
      <c r="I21" s="53"/>
    </row>
    <row r="22" spans="1:9" x14ac:dyDescent="0.3">
      <c r="A22" s="6">
        <v>19</v>
      </c>
      <c r="B22" s="64" t="s">
        <v>179</v>
      </c>
      <c r="C22" s="6" t="s">
        <v>91</v>
      </c>
      <c r="D22" s="5" t="s">
        <v>26</v>
      </c>
      <c r="E22" s="65" t="s">
        <v>754</v>
      </c>
      <c r="F22" s="14" t="s">
        <v>677</v>
      </c>
      <c r="G22" s="14"/>
      <c r="H22" s="14"/>
      <c r="I22" s="53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5E61-A89D-4B08-A62C-04E89CDDCD6B}">
  <dimension ref="A1:Z32"/>
  <sheetViews>
    <sheetView workbookViewId="0">
      <pane xSplit="7" ySplit="4" topLeftCell="H5" activePane="bottomRight" state="frozen"/>
      <selection pane="topRight" activeCell="F1" sqref="F1"/>
      <selection pane="bottomLeft" activeCell="A4" sqref="A4"/>
      <selection pane="bottomRight" activeCell="Q16" sqref="Q16"/>
    </sheetView>
  </sheetViews>
  <sheetFormatPr defaultRowHeight="14.4" x14ac:dyDescent="0.3"/>
  <cols>
    <col min="1" max="1" width="5.88671875" customWidth="1"/>
    <col min="2" max="2" width="9.6640625" bestFit="1" customWidth="1"/>
    <col min="3" max="3" width="15.77734375" bestFit="1" customWidth="1"/>
    <col min="4" max="4" width="31.5546875" bestFit="1" customWidth="1"/>
    <col min="5" max="5" width="15.88671875" customWidth="1"/>
    <col min="6" max="6" width="8.33203125" style="10" customWidth="1"/>
    <col min="7" max="7" width="12.33203125" bestFit="1" customWidth="1"/>
    <col min="8" max="8" width="42.5546875" bestFit="1" customWidth="1"/>
    <col min="9" max="9" width="13.33203125" customWidth="1"/>
    <col min="10" max="10" width="12.88671875" bestFit="1" customWidth="1"/>
    <col min="11" max="11" width="13.5546875" bestFit="1" customWidth="1"/>
    <col min="12" max="12" width="16.77734375" bestFit="1" customWidth="1"/>
    <col min="13" max="13" width="16.44140625" bestFit="1" customWidth="1"/>
    <col min="14" max="14" width="25.21875" bestFit="1" customWidth="1"/>
    <col min="15" max="15" width="15.88671875" bestFit="1" customWidth="1"/>
    <col min="16" max="16" width="11.5546875" bestFit="1" customWidth="1"/>
    <col min="17" max="17" width="14.21875" customWidth="1"/>
    <col min="18" max="18" width="11.6640625" customWidth="1"/>
    <col min="19" max="19" width="11" customWidth="1"/>
    <col min="20" max="20" width="19.88671875" bestFit="1" customWidth="1"/>
    <col min="21" max="21" width="22" bestFit="1" customWidth="1"/>
    <col min="22" max="22" width="19.88671875" customWidth="1"/>
    <col min="23" max="24" width="20.88671875" bestFit="1" customWidth="1"/>
    <col min="25" max="25" width="26.33203125" bestFit="1" customWidth="1"/>
  </cols>
  <sheetData>
    <row r="1" spans="1:26" s="17" customFormat="1" ht="15.6" x14ac:dyDescent="0.3">
      <c r="A1" s="33" t="s">
        <v>774</v>
      </c>
      <c r="F1" s="52"/>
      <c r="L1" s="33"/>
      <c r="X1" s="33"/>
      <c r="Y1" s="33"/>
    </row>
    <row r="2" spans="1:26" s="17" customFormat="1" ht="15.6" x14ac:dyDescent="0.3">
      <c r="A2" s="33"/>
      <c r="F2" s="52"/>
      <c r="L2" s="33"/>
      <c r="T2" s="17" t="s">
        <v>681</v>
      </c>
      <c r="X2"/>
      <c r="Y2"/>
    </row>
    <row r="3" spans="1:26" ht="14.4" customHeight="1" x14ac:dyDescent="0.3">
      <c r="A3" s="271" t="s">
        <v>79</v>
      </c>
      <c r="B3" s="271" t="s">
        <v>0</v>
      </c>
      <c r="C3" s="273" t="s">
        <v>99</v>
      </c>
      <c r="D3" s="276" t="s">
        <v>632</v>
      </c>
      <c r="E3" s="275" t="s">
        <v>625</v>
      </c>
      <c r="F3" s="271" t="s">
        <v>704</v>
      </c>
      <c r="G3" s="271" t="s">
        <v>101</v>
      </c>
      <c r="H3" s="271" t="s">
        <v>633</v>
      </c>
      <c r="I3" s="281" t="s">
        <v>707</v>
      </c>
      <c r="J3" s="280" t="s">
        <v>102</v>
      </c>
      <c r="K3" s="278" t="s">
        <v>702</v>
      </c>
      <c r="L3" s="282" t="s">
        <v>650</v>
      </c>
      <c r="M3" s="282" t="s">
        <v>654</v>
      </c>
      <c r="N3" s="282"/>
      <c r="O3" s="282"/>
      <c r="P3" s="278" t="s">
        <v>713</v>
      </c>
      <c r="Q3" s="269" t="s">
        <v>1598</v>
      </c>
      <c r="R3" s="271" t="s">
        <v>3</v>
      </c>
      <c r="T3" s="242" t="s">
        <v>625</v>
      </c>
      <c r="U3" s="242" t="s">
        <v>101</v>
      </c>
      <c r="V3" s="242" t="s">
        <v>707</v>
      </c>
      <c r="W3" s="242" t="s">
        <v>702</v>
      </c>
      <c r="X3" s="242" t="s">
        <v>650</v>
      </c>
      <c r="Y3" s="242" t="s">
        <v>654</v>
      </c>
      <c r="Z3" s="17"/>
    </row>
    <row r="4" spans="1:26" s="32" customFormat="1" x14ac:dyDescent="0.3">
      <c r="A4" s="272"/>
      <c r="B4" s="272"/>
      <c r="C4" s="274"/>
      <c r="D4" s="277"/>
      <c r="E4" s="270"/>
      <c r="F4" s="272"/>
      <c r="G4" s="272"/>
      <c r="H4" s="272"/>
      <c r="I4" s="277"/>
      <c r="J4" s="279"/>
      <c r="K4" s="279"/>
      <c r="L4" s="282"/>
      <c r="M4" s="41" t="s">
        <v>678</v>
      </c>
      <c r="N4" s="41" t="s">
        <v>679</v>
      </c>
      <c r="O4" s="41" t="s">
        <v>680</v>
      </c>
      <c r="P4" s="279"/>
      <c r="Q4" s="270"/>
      <c r="R4" s="272"/>
      <c r="T4" s="242"/>
      <c r="U4" s="242"/>
      <c r="V4" s="242"/>
      <c r="W4" s="242"/>
      <c r="X4" s="242"/>
      <c r="Y4" s="242"/>
    </row>
    <row r="5" spans="1:26" s="7" customFormat="1" x14ac:dyDescent="0.3">
      <c r="A5" s="6">
        <v>1</v>
      </c>
      <c r="B5" s="64" t="s">
        <v>160</v>
      </c>
      <c r="C5" s="6" t="s">
        <v>82</v>
      </c>
      <c r="D5" s="5" t="s">
        <v>5</v>
      </c>
      <c r="E5" s="53"/>
      <c r="F5" s="5" t="s">
        <v>776</v>
      </c>
      <c r="G5" s="53" t="s">
        <v>2</v>
      </c>
      <c r="H5" s="5" t="s">
        <v>718</v>
      </c>
      <c r="I5" s="53" t="s">
        <v>52</v>
      </c>
      <c r="J5" s="11" t="s">
        <v>73</v>
      </c>
      <c r="K5" s="11" t="s">
        <v>687</v>
      </c>
      <c r="L5" s="53" t="s">
        <v>690</v>
      </c>
      <c r="M5" s="53" t="s">
        <v>640</v>
      </c>
      <c r="N5" s="53" t="s">
        <v>643</v>
      </c>
      <c r="O5" s="53" t="s">
        <v>640</v>
      </c>
      <c r="P5" s="11"/>
      <c r="Q5" s="11"/>
      <c r="R5" s="11"/>
      <c r="T5" t="s">
        <v>683</v>
      </c>
      <c r="U5" t="s">
        <v>2</v>
      </c>
      <c r="V5" t="s">
        <v>29</v>
      </c>
      <c r="W5" t="s">
        <v>687</v>
      </c>
      <c r="X5" t="s">
        <v>690</v>
      </c>
      <c r="Y5" t="s">
        <v>622</v>
      </c>
    </row>
    <row r="6" spans="1:26" s="7" customFormat="1" x14ac:dyDescent="0.3">
      <c r="A6" s="6">
        <v>2</v>
      </c>
      <c r="B6" s="64" t="s">
        <v>161</v>
      </c>
      <c r="C6" s="6" t="s">
        <v>82</v>
      </c>
      <c r="D6" s="5" t="s">
        <v>6</v>
      </c>
      <c r="E6" s="53"/>
      <c r="F6" s="5" t="s">
        <v>777</v>
      </c>
      <c r="G6" s="53" t="s">
        <v>2</v>
      </c>
      <c r="H6" s="5" t="s">
        <v>719</v>
      </c>
      <c r="I6" s="53" t="s">
        <v>52</v>
      </c>
      <c r="J6" s="11" t="s">
        <v>73</v>
      </c>
      <c r="K6" s="11" t="s">
        <v>687</v>
      </c>
      <c r="L6" s="53" t="s">
        <v>690</v>
      </c>
      <c r="M6" s="53" t="s">
        <v>640</v>
      </c>
      <c r="N6" s="53" t="s">
        <v>643</v>
      </c>
      <c r="O6" s="53" t="s">
        <v>640</v>
      </c>
      <c r="P6" s="11"/>
      <c r="Q6" s="11"/>
      <c r="R6" s="11"/>
      <c r="T6" t="s">
        <v>684</v>
      </c>
      <c r="U6" t="s">
        <v>730</v>
      </c>
      <c r="V6" t="s">
        <v>49</v>
      </c>
      <c r="W6" t="s">
        <v>688</v>
      </c>
      <c r="X6" t="s">
        <v>691</v>
      </c>
      <c r="Y6" t="s">
        <v>769</v>
      </c>
    </row>
    <row r="7" spans="1:26" s="7" customFormat="1" x14ac:dyDescent="0.3">
      <c r="A7" s="6">
        <v>3</v>
      </c>
      <c r="B7" s="64" t="s">
        <v>162</v>
      </c>
      <c r="C7" s="6" t="s">
        <v>83</v>
      </c>
      <c r="D7" s="5" t="s">
        <v>7</v>
      </c>
      <c r="E7" s="53"/>
      <c r="F7" s="5" t="s">
        <v>778</v>
      </c>
      <c r="G7" s="53" t="s">
        <v>733</v>
      </c>
      <c r="H7" s="5" t="s">
        <v>720</v>
      </c>
      <c r="I7" s="53" t="s">
        <v>708</v>
      </c>
      <c r="J7" s="11" t="s">
        <v>731</v>
      </c>
      <c r="K7" s="11" t="s">
        <v>688</v>
      </c>
      <c r="L7" s="53" t="s">
        <v>690</v>
      </c>
      <c r="M7" s="53" t="s">
        <v>769</v>
      </c>
      <c r="N7" s="53" t="s">
        <v>769</v>
      </c>
      <c r="O7" s="53" t="s">
        <v>769</v>
      </c>
      <c r="P7" s="11"/>
      <c r="Q7" s="11"/>
      <c r="R7" s="11"/>
      <c r="T7" t="s">
        <v>685</v>
      </c>
      <c r="U7" t="s">
        <v>732</v>
      </c>
      <c r="V7" t="s">
        <v>52</v>
      </c>
      <c r="W7" t="s">
        <v>689</v>
      </c>
      <c r="X7" t="s">
        <v>692</v>
      </c>
      <c r="Y7" t="s">
        <v>621</v>
      </c>
    </row>
    <row r="8" spans="1:26" s="7" customFormat="1" x14ac:dyDescent="0.3">
      <c r="A8" s="6">
        <v>4</v>
      </c>
      <c r="B8" s="64" t="s">
        <v>164</v>
      </c>
      <c r="C8" s="6" t="s">
        <v>84</v>
      </c>
      <c r="D8" s="5" t="s">
        <v>8</v>
      </c>
      <c r="E8" s="53"/>
      <c r="F8" s="5" t="s">
        <v>779</v>
      </c>
      <c r="G8" s="53" t="s">
        <v>2</v>
      </c>
      <c r="H8" s="5" t="s">
        <v>9</v>
      </c>
      <c r="I8" s="53" t="s">
        <v>52</v>
      </c>
      <c r="J8" s="11" t="s">
        <v>73</v>
      </c>
      <c r="K8" s="11" t="s">
        <v>687</v>
      </c>
      <c r="L8" s="53" t="s">
        <v>690</v>
      </c>
      <c r="M8" s="53" t="s">
        <v>640</v>
      </c>
      <c r="N8" s="53" t="s">
        <v>640</v>
      </c>
      <c r="O8" s="53" t="s">
        <v>640</v>
      </c>
      <c r="P8" s="11"/>
      <c r="Q8" s="11"/>
      <c r="R8" s="11"/>
      <c r="T8" t="s">
        <v>686</v>
      </c>
      <c r="U8" t="s">
        <v>733</v>
      </c>
      <c r="V8" t="s">
        <v>708</v>
      </c>
      <c r="W8"/>
      <c r="X8"/>
      <c r="Y8" t="s">
        <v>644</v>
      </c>
    </row>
    <row r="9" spans="1:26" s="7" customFormat="1" x14ac:dyDescent="0.3">
      <c r="A9" s="6">
        <v>5</v>
      </c>
      <c r="B9" s="64" t="s">
        <v>165</v>
      </c>
      <c r="C9" s="6" t="s">
        <v>84</v>
      </c>
      <c r="D9" s="5" t="s">
        <v>10</v>
      </c>
      <c r="E9" s="53"/>
      <c r="F9" s="5" t="s">
        <v>780</v>
      </c>
      <c r="G9" s="53" t="s">
        <v>2</v>
      </c>
      <c r="H9" s="5" t="s">
        <v>721</v>
      </c>
      <c r="I9" s="53" t="s">
        <v>52</v>
      </c>
      <c r="J9" s="11" t="s">
        <v>73</v>
      </c>
      <c r="K9" s="11" t="s">
        <v>687</v>
      </c>
      <c r="L9" s="53" t="s">
        <v>690</v>
      </c>
      <c r="M9" s="53" t="s">
        <v>640</v>
      </c>
      <c r="N9" s="53" t="s">
        <v>640</v>
      </c>
      <c r="O9" s="53" t="s">
        <v>640</v>
      </c>
      <c r="P9" s="11"/>
      <c r="Q9" s="11"/>
      <c r="R9" s="11"/>
      <c r="T9"/>
      <c r="U9" t="s">
        <v>734</v>
      </c>
      <c r="V9"/>
      <c r="X9"/>
      <c r="Y9" t="s">
        <v>642</v>
      </c>
    </row>
    <row r="10" spans="1:26" s="7" customFormat="1" x14ac:dyDescent="0.3">
      <c r="A10" s="6">
        <v>6</v>
      </c>
      <c r="B10" s="64" t="s">
        <v>166</v>
      </c>
      <c r="C10" s="6" t="s">
        <v>85</v>
      </c>
      <c r="D10" s="5" t="s">
        <v>11</v>
      </c>
      <c r="E10" s="53"/>
      <c r="F10" s="5" t="s">
        <v>781</v>
      </c>
      <c r="G10" s="53" t="s">
        <v>2</v>
      </c>
      <c r="H10" s="5" t="s">
        <v>56</v>
      </c>
      <c r="I10" s="53" t="s">
        <v>52</v>
      </c>
      <c r="J10" s="11" t="s">
        <v>80</v>
      </c>
      <c r="K10" s="11" t="s">
        <v>688</v>
      </c>
      <c r="L10" s="53" t="s">
        <v>691</v>
      </c>
      <c r="M10" s="53" t="s">
        <v>652</v>
      </c>
      <c r="N10" s="53" t="s">
        <v>643</v>
      </c>
      <c r="O10" s="53" t="s">
        <v>652</v>
      </c>
      <c r="P10" s="11"/>
      <c r="Q10" s="11"/>
      <c r="R10" s="11"/>
      <c r="U10" s="7" t="s">
        <v>735</v>
      </c>
      <c r="X10"/>
      <c r="Y10" t="s">
        <v>645</v>
      </c>
    </row>
    <row r="11" spans="1:26" s="7" customFormat="1" x14ac:dyDescent="0.3">
      <c r="A11" s="6">
        <v>7</v>
      </c>
      <c r="B11" s="64" t="s">
        <v>167</v>
      </c>
      <c r="C11" s="6" t="s">
        <v>85</v>
      </c>
      <c r="D11" s="5" t="s">
        <v>12</v>
      </c>
      <c r="E11" s="53"/>
      <c r="F11" s="5" t="s">
        <v>782</v>
      </c>
      <c r="G11" s="53" t="s">
        <v>2</v>
      </c>
      <c r="H11" s="5" t="s">
        <v>56</v>
      </c>
      <c r="I11" s="53" t="s">
        <v>52</v>
      </c>
      <c r="J11" s="11" t="s">
        <v>80</v>
      </c>
      <c r="K11" s="11" t="s">
        <v>688</v>
      </c>
      <c r="L11" s="53" t="s">
        <v>691</v>
      </c>
      <c r="M11" s="53" t="s">
        <v>652</v>
      </c>
      <c r="N11" s="53" t="s">
        <v>643</v>
      </c>
      <c r="O11" s="53" t="s">
        <v>652</v>
      </c>
      <c r="P11" s="11"/>
      <c r="Q11" s="11"/>
      <c r="R11" s="11"/>
      <c r="X11"/>
      <c r="Y11" t="s">
        <v>643</v>
      </c>
    </row>
    <row r="12" spans="1:26" s="7" customFormat="1" x14ac:dyDescent="0.3">
      <c r="A12" s="6">
        <v>8</v>
      </c>
      <c r="B12" s="64" t="s">
        <v>168</v>
      </c>
      <c r="C12" s="6" t="s">
        <v>86</v>
      </c>
      <c r="D12" s="5" t="s">
        <v>13</v>
      </c>
      <c r="E12" s="53"/>
      <c r="F12" s="5" t="s">
        <v>783</v>
      </c>
      <c r="G12" s="53" t="s">
        <v>2</v>
      </c>
      <c r="H12" s="5" t="s">
        <v>722</v>
      </c>
      <c r="I12" s="53" t="s">
        <v>52</v>
      </c>
      <c r="J12" s="11" t="s">
        <v>73</v>
      </c>
      <c r="K12" s="11" t="s">
        <v>687</v>
      </c>
      <c r="L12" s="53" t="s">
        <v>690</v>
      </c>
      <c r="M12" s="53" t="s">
        <v>640</v>
      </c>
      <c r="N12" s="53" t="s">
        <v>643</v>
      </c>
      <c r="O12" s="53" t="s">
        <v>640</v>
      </c>
      <c r="P12" s="11"/>
      <c r="Q12" s="11"/>
      <c r="R12" s="11"/>
      <c r="X12"/>
      <c r="Y12" t="s">
        <v>623</v>
      </c>
    </row>
    <row r="13" spans="1:26" s="7" customFormat="1" x14ac:dyDescent="0.3">
      <c r="A13" s="6">
        <v>9</v>
      </c>
      <c r="B13" s="64" t="s">
        <v>169</v>
      </c>
      <c r="C13" s="6" t="s">
        <v>86</v>
      </c>
      <c r="D13" s="5" t="s">
        <v>14</v>
      </c>
      <c r="E13" s="53"/>
      <c r="F13" s="5" t="s">
        <v>784</v>
      </c>
      <c r="G13" s="53" t="s">
        <v>2</v>
      </c>
      <c r="H13" s="5" t="s">
        <v>723</v>
      </c>
      <c r="I13" s="53" t="s">
        <v>52</v>
      </c>
      <c r="J13" s="11" t="s">
        <v>73</v>
      </c>
      <c r="K13" s="11" t="s">
        <v>687</v>
      </c>
      <c r="L13" s="53" t="s">
        <v>690</v>
      </c>
      <c r="M13" s="53" t="s">
        <v>640</v>
      </c>
      <c r="N13" s="53" t="s">
        <v>643</v>
      </c>
      <c r="O13" s="53" t="s">
        <v>640</v>
      </c>
      <c r="P13" s="11"/>
      <c r="Q13" s="11"/>
      <c r="R13" s="11"/>
      <c r="X13"/>
      <c r="Y13" t="s">
        <v>640</v>
      </c>
    </row>
    <row r="14" spans="1:26" s="7" customFormat="1" x14ac:dyDescent="0.3">
      <c r="A14" s="6">
        <v>10</v>
      </c>
      <c r="B14" s="64" t="s">
        <v>170</v>
      </c>
      <c r="C14" s="6" t="s">
        <v>87</v>
      </c>
      <c r="D14" s="5" t="s">
        <v>15</v>
      </c>
      <c r="E14" s="53"/>
      <c r="F14" s="5" t="s">
        <v>785</v>
      </c>
      <c r="G14" s="53" t="s">
        <v>730</v>
      </c>
      <c r="H14" s="5" t="s">
        <v>724</v>
      </c>
      <c r="I14" s="53" t="s">
        <v>708</v>
      </c>
      <c r="J14" s="11" t="s">
        <v>80</v>
      </c>
      <c r="K14" s="11" t="s">
        <v>687</v>
      </c>
      <c r="L14" s="53" t="s">
        <v>690</v>
      </c>
      <c r="M14" s="53" t="s">
        <v>640</v>
      </c>
      <c r="N14" s="53" t="s">
        <v>643</v>
      </c>
      <c r="O14" s="53" t="s">
        <v>640</v>
      </c>
      <c r="P14" s="11"/>
      <c r="Q14" s="11"/>
      <c r="R14" s="11"/>
      <c r="X14"/>
      <c r="Y14" t="s">
        <v>652</v>
      </c>
    </row>
    <row r="15" spans="1:26" s="7" customFormat="1" x14ac:dyDescent="0.3">
      <c r="A15" s="6">
        <v>11</v>
      </c>
      <c r="B15" s="64" t="s">
        <v>171</v>
      </c>
      <c r="C15" s="6" t="s">
        <v>87</v>
      </c>
      <c r="D15" s="5" t="s">
        <v>16</v>
      </c>
      <c r="E15" s="53"/>
      <c r="F15" s="5" t="s">
        <v>786</v>
      </c>
      <c r="G15" s="53" t="s">
        <v>2</v>
      </c>
      <c r="H15" s="5" t="s">
        <v>56</v>
      </c>
      <c r="I15" s="53" t="s">
        <v>52</v>
      </c>
      <c r="J15" s="11" t="s">
        <v>80</v>
      </c>
      <c r="K15" s="11" t="s">
        <v>688</v>
      </c>
      <c r="L15" s="53" t="s">
        <v>690</v>
      </c>
      <c r="M15" s="53" t="s">
        <v>640</v>
      </c>
      <c r="N15" s="53" t="s">
        <v>643</v>
      </c>
      <c r="O15" s="53" t="s">
        <v>640</v>
      </c>
      <c r="P15" s="11"/>
      <c r="Q15" s="11"/>
      <c r="R15" s="11"/>
      <c r="X15"/>
      <c r="Y15" t="s">
        <v>639</v>
      </c>
    </row>
    <row r="16" spans="1:26" s="7" customFormat="1" x14ac:dyDescent="0.3">
      <c r="A16" s="6">
        <v>12</v>
      </c>
      <c r="B16" s="64" t="s">
        <v>172</v>
      </c>
      <c r="C16" s="6" t="s">
        <v>88</v>
      </c>
      <c r="D16" s="5" t="s">
        <v>17</v>
      </c>
      <c r="E16" s="53"/>
      <c r="F16" s="5" t="s">
        <v>787</v>
      </c>
      <c r="G16" s="53" t="s">
        <v>2</v>
      </c>
      <c r="H16" s="5" t="s">
        <v>725</v>
      </c>
      <c r="I16" s="53" t="s">
        <v>52</v>
      </c>
      <c r="J16" s="11" t="s">
        <v>80</v>
      </c>
      <c r="K16" s="11" t="s">
        <v>687</v>
      </c>
      <c r="L16" s="53" t="s">
        <v>690</v>
      </c>
      <c r="M16" s="53" t="s">
        <v>640</v>
      </c>
      <c r="N16" s="53" t="s">
        <v>643</v>
      </c>
      <c r="O16" s="53" t="s">
        <v>640</v>
      </c>
      <c r="P16" s="11"/>
      <c r="Q16" s="11"/>
      <c r="R16" s="11"/>
      <c r="X16"/>
      <c r="Y16" t="s">
        <v>638</v>
      </c>
    </row>
    <row r="17" spans="1:25" s="7" customFormat="1" x14ac:dyDescent="0.3">
      <c r="A17" s="6">
        <v>13</v>
      </c>
      <c r="B17" s="64" t="s">
        <v>173</v>
      </c>
      <c r="C17" s="6" t="s">
        <v>88</v>
      </c>
      <c r="D17" s="5" t="s">
        <v>18</v>
      </c>
      <c r="E17" s="53"/>
      <c r="F17" s="5" t="s">
        <v>788</v>
      </c>
      <c r="G17" s="53" t="s">
        <v>2</v>
      </c>
      <c r="H17" s="5" t="s">
        <v>726</v>
      </c>
      <c r="I17" s="53" t="s">
        <v>52</v>
      </c>
      <c r="J17" s="11" t="s">
        <v>73</v>
      </c>
      <c r="K17" s="11" t="s">
        <v>687</v>
      </c>
      <c r="L17" s="53" t="s">
        <v>690</v>
      </c>
      <c r="M17" s="53" t="s">
        <v>640</v>
      </c>
      <c r="N17" s="53" t="s">
        <v>643</v>
      </c>
      <c r="O17" s="53" t="s">
        <v>640</v>
      </c>
      <c r="P17" s="11"/>
      <c r="Q17" s="11"/>
      <c r="R17" s="11"/>
      <c r="X17"/>
      <c r="Y17" t="s">
        <v>641</v>
      </c>
    </row>
    <row r="18" spans="1:25" s="7" customFormat="1" x14ac:dyDescent="0.3">
      <c r="A18" s="6">
        <v>14</v>
      </c>
      <c r="B18" s="64" t="s">
        <v>174</v>
      </c>
      <c r="C18" s="6" t="s">
        <v>89</v>
      </c>
      <c r="D18" s="5" t="s">
        <v>19</v>
      </c>
      <c r="E18" s="53"/>
      <c r="F18" s="5" t="s">
        <v>789</v>
      </c>
      <c r="G18" s="53" t="s">
        <v>2</v>
      </c>
      <c r="H18" s="5" t="s">
        <v>20</v>
      </c>
      <c r="I18" s="53" t="s">
        <v>52</v>
      </c>
      <c r="J18" s="11" t="s">
        <v>73</v>
      </c>
      <c r="K18" s="11" t="s">
        <v>687</v>
      </c>
      <c r="L18" s="53" t="s">
        <v>690</v>
      </c>
      <c r="M18" s="53" t="s">
        <v>640</v>
      </c>
      <c r="N18" s="53" t="s">
        <v>643</v>
      </c>
      <c r="O18" s="53" t="s">
        <v>640</v>
      </c>
      <c r="P18" s="11"/>
      <c r="Q18" s="11"/>
      <c r="R18" s="11"/>
      <c r="X18"/>
      <c r="Y18"/>
    </row>
    <row r="19" spans="1:25" s="7" customFormat="1" x14ac:dyDescent="0.3">
      <c r="A19" s="6">
        <v>15</v>
      </c>
      <c r="B19" s="64" t="s">
        <v>175</v>
      </c>
      <c r="C19" s="6" t="s">
        <v>89</v>
      </c>
      <c r="D19" s="5" t="s">
        <v>21</v>
      </c>
      <c r="E19" s="53"/>
      <c r="F19" s="5" t="s">
        <v>790</v>
      </c>
      <c r="G19" s="53" t="s">
        <v>2</v>
      </c>
      <c r="H19" s="5" t="s">
        <v>20</v>
      </c>
      <c r="I19" s="53" t="s">
        <v>52</v>
      </c>
      <c r="J19" s="11" t="s">
        <v>73</v>
      </c>
      <c r="K19" s="11" t="s">
        <v>687</v>
      </c>
      <c r="L19" s="53" t="s">
        <v>690</v>
      </c>
      <c r="M19" s="53" t="s">
        <v>640</v>
      </c>
      <c r="N19" s="53" t="s">
        <v>643</v>
      </c>
      <c r="O19" s="53" t="s">
        <v>640</v>
      </c>
      <c r="P19" s="11"/>
      <c r="Q19" s="11"/>
      <c r="R19" s="11"/>
      <c r="X19"/>
      <c r="Y19"/>
    </row>
    <row r="20" spans="1:25" s="7" customFormat="1" x14ac:dyDescent="0.3">
      <c r="A20" s="6">
        <v>16</v>
      </c>
      <c r="B20" s="64" t="s">
        <v>176</v>
      </c>
      <c r="C20" s="6" t="s">
        <v>90</v>
      </c>
      <c r="D20" s="5" t="s">
        <v>22</v>
      </c>
      <c r="E20" s="53"/>
      <c r="F20" s="5" t="s">
        <v>791</v>
      </c>
      <c r="G20" s="53" t="s">
        <v>2</v>
      </c>
      <c r="H20" s="5" t="s">
        <v>729</v>
      </c>
      <c r="I20" s="53" t="s">
        <v>52</v>
      </c>
      <c r="J20" s="11" t="s">
        <v>80</v>
      </c>
      <c r="K20" s="11" t="s">
        <v>687</v>
      </c>
      <c r="L20" s="53" t="s">
        <v>690</v>
      </c>
      <c r="M20" s="53" t="s">
        <v>640</v>
      </c>
      <c r="N20" s="53" t="s">
        <v>643</v>
      </c>
      <c r="O20" s="53" t="s">
        <v>640</v>
      </c>
      <c r="P20" s="11"/>
      <c r="Q20" s="11"/>
      <c r="R20" s="11"/>
      <c r="X20"/>
      <c r="Y20"/>
    </row>
    <row r="21" spans="1:25" s="7" customFormat="1" x14ac:dyDescent="0.3">
      <c r="A21" s="6">
        <v>17</v>
      </c>
      <c r="B21" s="64" t="s">
        <v>177</v>
      </c>
      <c r="C21" s="6" t="s">
        <v>90</v>
      </c>
      <c r="D21" s="5" t="s">
        <v>23</v>
      </c>
      <c r="E21" s="53"/>
      <c r="F21" s="5" t="s">
        <v>792</v>
      </c>
      <c r="G21" s="53" t="s">
        <v>2</v>
      </c>
      <c r="H21" s="5" t="s">
        <v>24</v>
      </c>
      <c r="I21" s="53" t="s">
        <v>52</v>
      </c>
      <c r="J21" s="11" t="s">
        <v>73</v>
      </c>
      <c r="K21" s="11" t="s">
        <v>687</v>
      </c>
      <c r="L21" s="53" t="s">
        <v>690</v>
      </c>
      <c r="M21" s="53" t="s">
        <v>640</v>
      </c>
      <c r="N21" s="53" t="s">
        <v>643</v>
      </c>
      <c r="O21" s="53" t="s">
        <v>640</v>
      </c>
      <c r="P21" s="11"/>
      <c r="Q21" s="11"/>
      <c r="R21" s="11"/>
      <c r="X21"/>
      <c r="Y21"/>
    </row>
    <row r="22" spans="1:25" s="7" customFormat="1" x14ac:dyDescent="0.3">
      <c r="A22" s="6">
        <v>18</v>
      </c>
      <c r="B22" s="64" t="s">
        <v>178</v>
      </c>
      <c r="C22" s="6" t="s">
        <v>91</v>
      </c>
      <c r="D22" s="5" t="s">
        <v>25</v>
      </c>
      <c r="E22" s="53"/>
      <c r="F22" s="5" t="s">
        <v>793</v>
      </c>
      <c r="G22" s="53" t="s">
        <v>2</v>
      </c>
      <c r="H22" s="5" t="s">
        <v>727</v>
      </c>
      <c r="I22" s="53" t="s">
        <v>52</v>
      </c>
      <c r="J22" s="11" t="s">
        <v>73</v>
      </c>
      <c r="K22" s="11" t="s">
        <v>687</v>
      </c>
      <c r="L22" s="53" t="s">
        <v>690</v>
      </c>
      <c r="M22" s="53" t="s">
        <v>640</v>
      </c>
      <c r="N22" s="53" t="s">
        <v>643</v>
      </c>
      <c r="O22" s="53" t="s">
        <v>640</v>
      </c>
      <c r="P22" s="11"/>
      <c r="Q22" s="11"/>
      <c r="R22" s="11"/>
      <c r="X22"/>
      <c r="Y22"/>
    </row>
    <row r="23" spans="1:25" s="7" customFormat="1" x14ac:dyDescent="0.3">
      <c r="A23" s="6">
        <v>19</v>
      </c>
      <c r="B23" s="64" t="s">
        <v>179</v>
      </c>
      <c r="C23" s="6" t="s">
        <v>91</v>
      </c>
      <c r="D23" s="5" t="s">
        <v>26</v>
      </c>
      <c r="E23" s="53"/>
      <c r="F23" s="56" t="s">
        <v>794</v>
      </c>
      <c r="G23" s="53" t="s">
        <v>2</v>
      </c>
      <c r="H23" s="5" t="s">
        <v>728</v>
      </c>
      <c r="I23" s="53" t="s">
        <v>52</v>
      </c>
      <c r="J23" s="11" t="s">
        <v>73</v>
      </c>
      <c r="K23" s="11" t="s">
        <v>687</v>
      </c>
      <c r="L23" s="53" t="s">
        <v>690</v>
      </c>
      <c r="M23" s="53" t="s">
        <v>640</v>
      </c>
      <c r="N23" s="53" t="s">
        <v>643</v>
      </c>
      <c r="O23" s="53" t="s">
        <v>640</v>
      </c>
      <c r="P23" s="11"/>
      <c r="Q23" s="11"/>
      <c r="R23" s="11"/>
      <c r="X23"/>
      <c r="Y23"/>
    </row>
    <row r="26" spans="1:25" x14ac:dyDescent="0.3">
      <c r="L26" s="66"/>
      <c r="M26" s="66"/>
      <c r="N26" s="66"/>
      <c r="O26" s="66"/>
      <c r="X26" s="66"/>
      <c r="Y26" s="66"/>
    </row>
    <row r="27" spans="1:25" x14ac:dyDescent="0.3">
      <c r="L27" s="66"/>
      <c r="M27" s="66"/>
      <c r="N27" s="66"/>
      <c r="O27" s="66"/>
      <c r="X27" s="66"/>
      <c r="Y27" s="66"/>
    </row>
    <row r="28" spans="1:25" x14ac:dyDescent="0.3">
      <c r="L28" s="66"/>
      <c r="M28" s="66"/>
      <c r="N28" s="66"/>
      <c r="O28" s="66"/>
      <c r="X28" s="66"/>
      <c r="Y28" s="66"/>
    </row>
    <row r="29" spans="1:25" x14ac:dyDescent="0.3">
      <c r="L29" s="66"/>
      <c r="M29" s="66"/>
      <c r="N29" s="66"/>
      <c r="O29" s="66"/>
      <c r="X29" s="66"/>
      <c r="Y29" s="66"/>
    </row>
    <row r="30" spans="1:25" x14ac:dyDescent="0.3">
      <c r="L30" s="66"/>
      <c r="M30" s="66"/>
      <c r="N30" s="66"/>
      <c r="O30" s="66"/>
      <c r="X30" s="66"/>
      <c r="Y30" s="66"/>
    </row>
    <row r="31" spans="1:25" x14ac:dyDescent="0.3">
      <c r="L31" s="66"/>
      <c r="M31" s="66"/>
      <c r="N31" s="66"/>
      <c r="O31" s="66"/>
      <c r="X31" s="66"/>
      <c r="Y31" s="66"/>
    </row>
    <row r="32" spans="1:25" x14ac:dyDescent="0.3">
      <c r="L32" s="66"/>
      <c r="M32" s="66"/>
      <c r="N32" s="66"/>
      <c r="O32" s="66"/>
      <c r="X32" s="66"/>
      <c r="Y32" s="66"/>
    </row>
  </sheetData>
  <sortState xmlns:xlrd2="http://schemas.microsoft.com/office/spreadsheetml/2017/richdata2" ref="Y5:Y17">
    <sortCondition ref="Y5:Y17"/>
  </sortState>
  <mergeCells count="22">
    <mergeCell ref="G3:G4"/>
    <mergeCell ref="F3:F4"/>
    <mergeCell ref="P3:P4"/>
    <mergeCell ref="H3:H4"/>
    <mergeCell ref="K3:K4"/>
    <mergeCell ref="J3:J4"/>
    <mergeCell ref="I3:I4"/>
    <mergeCell ref="L3:L4"/>
    <mergeCell ref="M3:O3"/>
    <mergeCell ref="C3:C4"/>
    <mergeCell ref="B3:B4"/>
    <mergeCell ref="A3:A4"/>
    <mergeCell ref="E3:E4"/>
    <mergeCell ref="D3:D4"/>
    <mergeCell ref="Y3:Y4"/>
    <mergeCell ref="X3:X4"/>
    <mergeCell ref="Q3:Q4"/>
    <mergeCell ref="R3:R4"/>
    <mergeCell ref="T3:T4"/>
    <mergeCell ref="U3:U4"/>
    <mergeCell ref="V3:V4"/>
    <mergeCell ref="W3:W4"/>
  </mergeCells>
  <dataValidations count="6">
    <dataValidation type="list" allowBlank="1" showInputMessage="1" showErrorMessage="1" sqref="E5:E23" xr:uid="{F9BC3562-2AFD-4D28-A0D4-00243D85D99F}">
      <formula1>$T$5:$T$8</formula1>
    </dataValidation>
    <dataValidation type="list" allowBlank="1" showInputMessage="1" showErrorMessage="1" sqref="I5:I23" xr:uid="{BB55B5C1-5D66-4111-BC40-6A18B6132C87}">
      <formula1>$V$5:$V$9</formula1>
    </dataValidation>
    <dataValidation type="list" allowBlank="1" showInputMessage="1" showErrorMessage="1" sqref="K5:K23" xr:uid="{0A29BF61-68E6-405D-ACE7-C9DE8D70F60C}">
      <formula1>$W$5:$W$8</formula1>
    </dataValidation>
    <dataValidation type="list" allowBlank="1" showInputMessage="1" showErrorMessage="1" sqref="G5:G23" xr:uid="{1B5F8511-B018-4ACD-927B-62F55376D7EF}">
      <formula1>$U$5:$U$11</formula1>
    </dataValidation>
    <dataValidation type="list" allowBlank="1" showInputMessage="1" showErrorMessage="1" sqref="L5:L23" xr:uid="{2DCFC897-4C2A-4DF7-914C-0993BF14BBF7}">
      <formula1>$X$5:$X$8</formula1>
    </dataValidation>
    <dataValidation type="list" allowBlank="1" showInputMessage="1" showErrorMessage="1" sqref="M5:O23" xr:uid="{A9B137FF-95CA-4583-884A-7C1D0A71C1B4}">
      <formula1>$Y$5:$Y$18</formula1>
    </dataValidation>
  </dataValidations>
  <pageMargins left="0.7" right="0.7" top="0.75" bottom="0.75" header="0.3" footer="0.3"/>
  <ignoredErrors>
    <ignoredError sqref="F5:F23" numberStoredAsText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733B-46D1-4DEB-8FDC-AD15D09B788D}">
  <dimension ref="A1:J14"/>
  <sheetViews>
    <sheetView tabSelected="1" workbookViewId="0">
      <pane xSplit="4" ySplit="4" topLeftCell="E5" activePane="bottomRight" state="frozen"/>
      <selection pane="topRight" activeCell="F1" sqref="F1"/>
      <selection pane="bottomLeft" activeCell="A5" sqref="A5"/>
      <selection pane="bottomRight" activeCell="H19" sqref="H19"/>
    </sheetView>
  </sheetViews>
  <sheetFormatPr defaultRowHeight="14.4" x14ac:dyDescent="0.3"/>
  <cols>
    <col min="1" max="1" width="5.6640625" customWidth="1"/>
    <col min="3" max="3" width="15.77734375" bestFit="1" customWidth="1"/>
    <col min="4" max="4" width="31.5546875" bestFit="1" customWidth="1"/>
    <col min="5" max="5" width="15.88671875" style="68" bestFit="1" customWidth="1"/>
    <col min="6" max="6" width="16.21875" style="68" customWidth="1"/>
    <col min="7" max="7" width="14.109375" bestFit="1" customWidth="1"/>
    <col min="8" max="8" width="19.5546875" bestFit="1" customWidth="1"/>
    <col min="9" max="9" width="10.5546875" customWidth="1"/>
    <col min="10" max="10" width="26.33203125" bestFit="1" customWidth="1"/>
    <col min="11" max="11" width="14.6640625" bestFit="1" customWidth="1"/>
  </cols>
  <sheetData>
    <row r="1" spans="1:10" s="33" customFormat="1" ht="15.6" x14ac:dyDescent="0.3">
      <c r="A1" s="33" t="s">
        <v>1625</v>
      </c>
      <c r="E1" s="71"/>
      <c r="F1" s="67"/>
      <c r="H1" s="43">
        <f ca="1">NOW()</f>
        <v>46231.490396990739</v>
      </c>
    </row>
    <row r="2" spans="1:10" x14ac:dyDescent="0.3">
      <c r="H2" s="2"/>
      <c r="J2" s="17" t="s">
        <v>681</v>
      </c>
    </row>
    <row r="3" spans="1:10" s="32" customFormat="1" x14ac:dyDescent="0.3">
      <c r="A3" s="245" t="s">
        <v>626</v>
      </c>
      <c r="B3" s="245" t="s">
        <v>0</v>
      </c>
      <c r="C3" s="245" t="s">
        <v>99</v>
      </c>
      <c r="D3" s="245" t="s">
        <v>632</v>
      </c>
      <c r="E3" s="243" t="s">
        <v>699</v>
      </c>
      <c r="F3" s="243" t="s">
        <v>700</v>
      </c>
      <c r="G3" s="245" t="s">
        <v>1575</v>
      </c>
      <c r="H3" s="245" t="s">
        <v>627</v>
      </c>
      <c r="J3" s="242" t="s">
        <v>698</v>
      </c>
    </row>
    <row r="4" spans="1:10" s="32" customFormat="1" x14ac:dyDescent="0.3">
      <c r="A4" s="245"/>
      <c r="B4" s="245"/>
      <c r="C4" s="245"/>
      <c r="D4" s="245"/>
      <c r="E4" s="244"/>
      <c r="F4" s="244"/>
      <c r="G4" s="245"/>
      <c r="H4" s="245"/>
      <c r="J4" s="242"/>
    </row>
    <row r="5" spans="1:10" x14ac:dyDescent="0.3">
      <c r="A5" s="53"/>
      <c r="B5" s="64" t="s">
        <v>166</v>
      </c>
      <c r="C5" s="6" t="s">
        <v>85</v>
      </c>
      <c r="D5" s="5" t="s">
        <v>11</v>
      </c>
      <c r="E5" s="69">
        <v>46193</v>
      </c>
      <c r="F5" s="69">
        <v>46203</v>
      </c>
      <c r="G5" s="53" t="s">
        <v>693</v>
      </c>
      <c r="H5" s="53"/>
      <c r="J5" t="s">
        <v>693</v>
      </c>
    </row>
    <row r="6" spans="1:10" x14ac:dyDescent="0.3">
      <c r="A6" s="200"/>
      <c r="B6" s="201" t="s">
        <v>167</v>
      </c>
      <c r="C6" s="202" t="s">
        <v>85</v>
      </c>
      <c r="D6" s="203" t="s">
        <v>12</v>
      </c>
      <c r="E6" s="204">
        <v>46193</v>
      </c>
      <c r="F6" s="204">
        <v>46203</v>
      </c>
      <c r="G6" s="200" t="s">
        <v>693</v>
      </c>
      <c r="H6" s="205"/>
      <c r="I6" s="17"/>
      <c r="J6" t="s">
        <v>1624</v>
      </c>
    </row>
    <row r="7" spans="1:10" x14ac:dyDescent="0.3">
      <c r="B7" s="70"/>
      <c r="C7" s="13"/>
      <c r="D7" s="12"/>
      <c r="J7" t="s">
        <v>1578</v>
      </c>
    </row>
    <row r="8" spans="1:10" x14ac:dyDescent="0.3">
      <c r="B8" s="70"/>
      <c r="C8" s="13"/>
      <c r="D8" s="12"/>
    </row>
    <row r="9" spans="1:10" x14ac:dyDescent="0.3">
      <c r="B9" s="51" t="s">
        <v>709</v>
      </c>
    </row>
    <row r="10" spans="1:10" x14ac:dyDescent="0.3">
      <c r="B10" t="s">
        <v>1632</v>
      </c>
    </row>
    <row r="11" spans="1:10" x14ac:dyDescent="0.3">
      <c r="B11" t="s">
        <v>1631</v>
      </c>
    </row>
    <row r="12" spans="1:10" x14ac:dyDescent="0.3">
      <c r="B12" t="s">
        <v>714</v>
      </c>
    </row>
    <row r="13" spans="1:10" x14ac:dyDescent="0.3">
      <c r="B13" t="s">
        <v>1630</v>
      </c>
    </row>
    <row r="14" spans="1:10" x14ac:dyDescent="0.3">
      <c r="B14" t="s">
        <v>712</v>
      </c>
    </row>
  </sheetData>
  <mergeCells count="9">
    <mergeCell ref="J3:J4"/>
    <mergeCell ref="F3:F4"/>
    <mergeCell ref="C3:C4"/>
    <mergeCell ref="B3:B4"/>
    <mergeCell ref="A3:A4"/>
    <mergeCell ref="H3:H4"/>
    <mergeCell ref="D3:D4"/>
    <mergeCell ref="G3:G4"/>
    <mergeCell ref="E3:E4"/>
  </mergeCells>
  <dataValidations count="2">
    <dataValidation type="list" allowBlank="1" showInputMessage="1" showErrorMessage="1" sqref="G7:G8" xr:uid="{213D21D3-DEDB-45DD-A160-338701732AD0}">
      <formula1>#REF!</formula1>
    </dataValidation>
    <dataValidation type="list" allowBlank="1" showInputMessage="1" showErrorMessage="1" sqref="G5:G6" xr:uid="{410DAD8B-5058-4B80-AFA7-2CC6465B2EA3}">
      <formula1>$J$5:$J$8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17F1-AB73-4D1E-9D10-254B4151F152}">
  <dimension ref="A1:L27"/>
  <sheetViews>
    <sheetView workbookViewId="0">
      <pane xSplit="3" ySplit="4" topLeftCell="D5" activePane="bottomRight" state="frozen"/>
      <selection pane="topRight" activeCell="F1" sqref="F1"/>
      <selection pane="bottomLeft" activeCell="A5" sqref="A5"/>
      <selection pane="bottomRight" activeCell="J1" sqref="J1"/>
    </sheetView>
  </sheetViews>
  <sheetFormatPr defaultRowHeight="14.4" x14ac:dyDescent="0.3"/>
  <cols>
    <col min="2" max="2" width="15.77734375" bestFit="1" customWidth="1"/>
    <col min="3" max="3" width="13.6640625" bestFit="1" customWidth="1"/>
    <col min="4" max="4" width="13.88671875" bestFit="1" customWidth="1"/>
    <col min="5" max="5" width="15.77734375" customWidth="1"/>
    <col min="6" max="6" width="10.88671875" style="68" customWidth="1"/>
    <col min="7" max="8" width="13.5546875" style="68" customWidth="1"/>
    <col min="9" max="9" width="9.6640625" customWidth="1"/>
    <col min="10" max="10" width="19.5546875" bestFit="1" customWidth="1"/>
    <col min="11" max="11" width="10.5546875" customWidth="1"/>
    <col min="12" max="12" width="26.33203125" bestFit="1" customWidth="1"/>
    <col min="13" max="13" width="14.6640625" bestFit="1" customWidth="1"/>
  </cols>
  <sheetData>
    <row r="1" spans="1:12" s="33" customFormat="1" ht="15.6" x14ac:dyDescent="0.3">
      <c r="A1" s="33" t="s">
        <v>1626</v>
      </c>
      <c r="F1" s="71"/>
      <c r="G1" s="67"/>
      <c r="H1" s="67"/>
      <c r="J1" s="43">
        <f ca="1">NOW()</f>
        <v>46231.490396990739</v>
      </c>
    </row>
    <row r="2" spans="1:12" x14ac:dyDescent="0.3">
      <c r="J2" s="2"/>
      <c r="L2" s="17" t="s">
        <v>681</v>
      </c>
    </row>
    <row r="3" spans="1:12" s="32" customFormat="1" x14ac:dyDescent="0.3">
      <c r="A3" s="283" t="s">
        <v>626</v>
      </c>
      <c r="B3" s="283" t="s">
        <v>1627</v>
      </c>
      <c r="C3" s="283" t="s">
        <v>1583</v>
      </c>
      <c r="D3" s="283" t="s">
        <v>800</v>
      </c>
      <c r="E3" s="283" t="s">
        <v>1634</v>
      </c>
      <c r="F3" s="284" t="s">
        <v>1628</v>
      </c>
      <c r="G3" s="284" t="s">
        <v>1629</v>
      </c>
      <c r="H3" s="284" t="s">
        <v>1635</v>
      </c>
      <c r="I3" s="283" t="s">
        <v>1575</v>
      </c>
      <c r="J3" s="283" t="s">
        <v>627</v>
      </c>
      <c r="L3" s="242" t="s">
        <v>1575</v>
      </c>
    </row>
    <row r="4" spans="1:12" s="32" customFormat="1" x14ac:dyDescent="0.3">
      <c r="A4" s="283"/>
      <c r="B4" s="283"/>
      <c r="C4" s="283"/>
      <c r="D4" s="283"/>
      <c r="E4" s="283"/>
      <c r="F4" s="284"/>
      <c r="G4" s="284"/>
      <c r="H4" s="284"/>
      <c r="I4" s="283"/>
      <c r="J4" s="283"/>
      <c r="L4" s="242"/>
    </row>
    <row r="5" spans="1:12" x14ac:dyDescent="0.3">
      <c r="A5" s="212"/>
      <c r="B5" s="213" t="s">
        <v>1604</v>
      </c>
      <c r="C5" s="213"/>
      <c r="D5" s="213"/>
      <c r="E5" s="214"/>
      <c r="F5" s="215"/>
      <c r="G5" s="215"/>
      <c r="H5" s="215"/>
      <c r="I5" s="216"/>
      <c r="J5" s="216"/>
      <c r="L5" t="s">
        <v>693</v>
      </c>
    </row>
    <row r="6" spans="1:12" x14ac:dyDescent="0.3">
      <c r="A6" s="218"/>
      <c r="B6" s="197" t="s">
        <v>1605</v>
      </c>
      <c r="C6" s="197"/>
      <c r="D6" s="197"/>
      <c r="E6" s="198"/>
      <c r="F6" s="219"/>
      <c r="G6" s="219"/>
      <c r="H6" s="219"/>
      <c r="I6" s="199"/>
      <c r="J6" s="199"/>
      <c r="L6" t="s">
        <v>1623</v>
      </c>
    </row>
    <row r="7" spans="1:12" x14ac:dyDescent="0.3">
      <c r="A7" s="212"/>
      <c r="B7" s="213" t="s">
        <v>1606</v>
      </c>
      <c r="C7" s="213"/>
      <c r="D7" s="213"/>
      <c r="E7" s="214"/>
      <c r="F7" s="215"/>
      <c r="G7" s="215"/>
      <c r="H7" s="215"/>
      <c r="I7" s="216"/>
      <c r="J7" s="216"/>
      <c r="L7" t="s">
        <v>1578</v>
      </c>
    </row>
    <row r="8" spans="1:12" x14ac:dyDescent="0.3">
      <c r="A8" s="218"/>
      <c r="B8" s="197" t="s">
        <v>1607</v>
      </c>
      <c r="C8" s="197"/>
      <c r="D8" s="197"/>
      <c r="E8" s="198"/>
      <c r="F8" s="219"/>
      <c r="G8" s="219"/>
      <c r="H8" s="219"/>
      <c r="I8" s="199"/>
      <c r="J8" s="199"/>
    </row>
    <row r="9" spans="1:12" x14ac:dyDescent="0.3">
      <c r="A9" s="212"/>
      <c r="B9" s="213" t="s">
        <v>1608</v>
      </c>
      <c r="C9" s="213"/>
      <c r="D9" s="213"/>
      <c r="E9" s="214"/>
      <c r="F9" s="215"/>
      <c r="G9" s="215"/>
      <c r="H9" s="215"/>
      <c r="I9" s="216"/>
      <c r="J9" s="216"/>
    </row>
    <row r="10" spans="1:12" x14ac:dyDescent="0.3">
      <c r="A10" s="218"/>
      <c r="B10" s="197" t="s">
        <v>1609</v>
      </c>
      <c r="C10" s="197"/>
      <c r="D10" s="197"/>
      <c r="E10" s="198"/>
      <c r="F10" s="219"/>
      <c r="G10" s="219"/>
      <c r="H10" s="219"/>
      <c r="I10" s="199"/>
      <c r="J10" s="199"/>
    </row>
    <row r="11" spans="1:12" x14ac:dyDescent="0.3">
      <c r="A11" s="212"/>
      <c r="B11" s="213" t="s">
        <v>1610</v>
      </c>
      <c r="C11" s="213"/>
      <c r="D11" s="213"/>
      <c r="E11" s="214"/>
      <c r="F11" s="215"/>
      <c r="G11" s="215"/>
      <c r="H11" s="215"/>
      <c r="I11" s="216"/>
      <c r="J11" s="217"/>
      <c r="K11" s="17"/>
    </row>
    <row r="12" spans="1:12" x14ac:dyDescent="0.3">
      <c r="A12" s="218"/>
      <c r="B12" s="197" t="s">
        <v>1611</v>
      </c>
      <c r="C12" s="197"/>
      <c r="D12" s="197"/>
      <c r="E12" s="198"/>
      <c r="F12" s="219"/>
      <c r="G12" s="219"/>
      <c r="H12" s="219"/>
      <c r="I12" s="199"/>
      <c r="J12" s="220"/>
      <c r="K12" s="17"/>
    </row>
    <row r="13" spans="1:12" x14ac:dyDescent="0.3">
      <c r="A13" s="212"/>
      <c r="B13" s="213" t="s">
        <v>1612</v>
      </c>
      <c r="C13" s="213"/>
      <c r="D13" s="213"/>
      <c r="E13" s="214"/>
      <c r="F13" s="215"/>
      <c r="G13" s="215"/>
      <c r="H13" s="215"/>
      <c r="I13" s="216"/>
      <c r="J13" s="217"/>
      <c r="K13" s="17"/>
    </row>
    <row r="14" spans="1:12" x14ac:dyDescent="0.3">
      <c r="A14" s="218"/>
      <c r="B14" s="198"/>
      <c r="C14" s="197"/>
      <c r="D14" s="197"/>
      <c r="E14" s="198"/>
      <c r="F14" s="219"/>
      <c r="G14" s="219"/>
      <c r="H14" s="219"/>
      <c r="I14" s="199"/>
      <c r="J14" s="220"/>
      <c r="K14" s="17"/>
    </row>
    <row r="15" spans="1:12" x14ac:dyDescent="0.3">
      <c r="A15" s="212"/>
      <c r="B15" s="214"/>
      <c r="C15" s="213"/>
      <c r="D15" s="213"/>
      <c r="E15" s="214"/>
      <c r="F15" s="215"/>
      <c r="G15" s="215"/>
      <c r="H15" s="215"/>
      <c r="I15" s="216"/>
      <c r="J15" s="217"/>
      <c r="K15" s="17"/>
    </row>
    <row r="16" spans="1:12" x14ac:dyDescent="0.3">
      <c r="A16" s="218"/>
      <c r="B16" s="198"/>
      <c r="C16" s="197"/>
      <c r="D16" s="197"/>
      <c r="E16" s="198"/>
      <c r="F16" s="219"/>
      <c r="G16" s="219"/>
      <c r="H16" s="219"/>
      <c r="I16" s="199"/>
      <c r="J16" s="220"/>
      <c r="K16" s="17"/>
    </row>
    <row r="17" spans="1:11" x14ac:dyDescent="0.3">
      <c r="A17" s="212"/>
      <c r="B17" s="214"/>
      <c r="C17" s="213"/>
      <c r="D17" s="213"/>
      <c r="E17" s="214"/>
      <c r="F17" s="215"/>
      <c r="G17" s="215"/>
      <c r="H17" s="215"/>
      <c r="I17" s="216"/>
      <c r="J17" s="217"/>
      <c r="K17" s="17"/>
    </row>
    <row r="18" spans="1:11" x14ac:dyDescent="0.3">
      <c r="A18" s="218"/>
      <c r="B18" s="198"/>
      <c r="C18" s="197"/>
      <c r="D18" s="197"/>
      <c r="E18" s="198"/>
      <c r="F18" s="219"/>
      <c r="G18" s="219"/>
      <c r="H18" s="219"/>
      <c r="I18" s="199"/>
      <c r="J18" s="220"/>
      <c r="K18" s="17"/>
    </row>
    <row r="19" spans="1:11" x14ac:dyDescent="0.3">
      <c r="A19" s="212"/>
      <c r="B19" s="214"/>
      <c r="C19" s="213"/>
      <c r="D19" s="213"/>
      <c r="E19" s="214"/>
      <c r="F19" s="215"/>
      <c r="G19" s="215"/>
      <c r="H19" s="215"/>
      <c r="I19" s="216"/>
      <c r="J19" s="217"/>
      <c r="K19" s="17"/>
    </row>
    <row r="20" spans="1:11" x14ac:dyDescent="0.3">
      <c r="A20" s="218"/>
      <c r="B20" s="198"/>
      <c r="C20" s="197"/>
      <c r="D20" s="197"/>
      <c r="E20" s="198"/>
      <c r="F20" s="219"/>
      <c r="G20" s="219"/>
      <c r="H20" s="219"/>
      <c r="I20" s="199"/>
      <c r="J20" s="220"/>
      <c r="K20" s="17"/>
    </row>
    <row r="21" spans="1:11" x14ac:dyDescent="0.3">
      <c r="A21" s="212"/>
      <c r="B21" s="214"/>
      <c r="C21" s="213"/>
      <c r="D21" s="213"/>
      <c r="E21" s="214"/>
      <c r="F21" s="215"/>
      <c r="G21" s="215"/>
      <c r="H21" s="215"/>
      <c r="I21" s="216"/>
      <c r="J21" s="217"/>
      <c r="K21" s="17"/>
    </row>
    <row r="22" spans="1:11" x14ac:dyDescent="0.3">
      <c r="A22" s="218"/>
      <c r="B22" s="198"/>
      <c r="C22" s="197"/>
      <c r="D22" s="197"/>
      <c r="E22" s="198"/>
      <c r="F22" s="219"/>
      <c r="G22" s="219"/>
      <c r="H22" s="219"/>
      <c r="I22" s="199"/>
      <c r="J22" s="220"/>
      <c r="K22" s="17"/>
    </row>
    <row r="23" spans="1:11" x14ac:dyDescent="0.3">
      <c r="A23" s="212"/>
      <c r="B23" s="214"/>
      <c r="C23" s="213"/>
      <c r="D23" s="213"/>
      <c r="E23" s="214"/>
      <c r="F23" s="215"/>
      <c r="G23" s="215"/>
      <c r="H23" s="215"/>
      <c r="I23" s="216"/>
      <c r="J23" s="217"/>
      <c r="K23" s="17"/>
    </row>
    <row r="24" spans="1:11" x14ac:dyDescent="0.3">
      <c r="A24" s="218"/>
      <c r="B24" s="198"/>
      <c r="C24" s="197"/>
      <c r="D24" s="197"/>
      <c r="E24" s="198"/>
      <c r="F24" s="219"/>
      <c r="G24" s="219"/>
      <c r="H24" s="219"/>
      <c r="I24" s="199"/>
      <c r="J24" s="220"/>
      <c r="K24" s="17"/>
    </row>
    <row r="25" spans="1:11" x14ac:dyDescent="0.3">
      <c r="A25" s="70"/>
      <c r="B25" s="13"/>
      <c r="C25" s="12"/>
      <c r="D25" s="12"/>
      <c r="E25" s="13"/>
    </row>
    <row r="26" spans="1:11" x14ac:dyDescent="0.3">
      <c r="A26" s="70"/>
      <c r="B26" s="13"/>
      <c r="C26" s="12"/>
      <c r="D26" s="12"/>
      <c r="E26" s="13"/>
    </row>
    <row r="27" spans="1:11" x14ac:dyDescent="0.3">
      <c r="A27" s="51" t="s">
        <v>709</v>
      </c>
    </row>
  </sheetData>
  <mergeCells count="11">
    <mergeCell ref="I3:I4"/>
    <mergeCell ref="J3:J4"/>
    <mergeCell ref="L3:L4"/>
    <mergeCell ref="D3:D4"/>
    <mergeCell ref="A3:A4"/>
    <mergeCell ref="B3:B4"/>
    <mergeCell ref="C3:C4"/>
    <mergeCell ref="F3:F4"/>
    <mergeCell ref="G3:G4"/>
    <mergeCell ref="E3:E4"/>
    <mergeCell ref="H3:H4"/>
  </mergeCells>
  <dataValidations count="1">
    <dataValidation type="list" allowBlank="1" showInputMessage="1" showErrorMessage="1" sqref="I5:I26" xr:uid="{D2FB2694-211F-472A-8A62-48A3694713A3}">
      <formula1>$L$5:$L$8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6536-497E-4E1C-BFCD-51DA97C560F8}">
  <dimension ref="A1:I30"/>
  <sheetViews>
    <sheetView workbookViewId="0">
      <pane xSplit="3" ySplit="4" topLeftCell="D5" activePane="bottomRight" state="frozen"/>
      <selection pane="topRight" activeCell="F1" sqref="F1"/>
      <selection pane="bottomLeft" activeCell="A5" sqref="A5"/>
      <selection pane="bottomRight" activeCell="C19" sqref="C19"/>
    </sheetView>
  </sheetViews>
  <sheetFormatPr defaultRowHeight="14.4" x14ac:dyDescent="0.3"/>
  <cols>
    <col min="2" max="2" width="15.77734375" bestFit="1" customWidth="1"/>
    <col min="3" max="3" width="31.5546875" bestFit="1" customWidth="1"/>
    <col min="4" max="5" width="15.88671875" style="68" bestFit="1" customWidth="1"/>
    <col min="6" max="6" width="14.109375" bestFit="1" customWidth="1"/>
    <col min="7" max="7" width="19.5546875" bestFit="1" customWidth="1"/>
    <col min="8" max="8" width="10.5546875" customWidth="1"/>
    <col min="9" max="9" width="26.33203125" bestFit="1" customWidth="1"/>
    <col min="10" max="10" width="14.6640625" bestFit="1" customWidth="1"/>
  </cols>
  <sheetData>
    <row r="1" spans="1:9" s="33" customFormat="1" ht="15.6" x14ac:dyDescent="0.3">
      <c r="A1" s="33" t="s">
        <v>1640</v>
      </c>
      <c r="D1" s="67"/>
      <c r="E1" s="67"/>
      <c r="G1" s="43">
        <f ca="1">NOW()</f>
        <v>46231.490396990739</v>
      </c>
    </row>
    <row r="2" spans="1:9" x14ac:dyDescent="0.3">
      <c r="G2" s="2"/>
      <c r="I2" s="17" t="s">
        <v>681</v>
      </c>
    </row>
    <row r="3" spans="1:9" s="32" customFormat="1" x14ac:dyDescent="0.3">
      <c r="A3" s="283" t="s">
        <v>0</v>
      </c>
      <c r="B3" s="283" t="s">
        <v>99</v>
      </c>
      <c r="C3" s="283" t="s">
        <v>632</v>
      </c>
      <c r="D3" s="284" t="s">
        <v>1638</v>
      </c>
      <c r="E3" s="284" t="s">
        <v>1639</v>
      </c>
      <c r="F3" s="283" t="s">
        <v>701</v>
      </c>
      <c r="G3" s="283" t="s">
        <v>627</v>
      </c>
      <c r="I3" s="242" t="s">
        <v>698</v>
      </c>
    </row>
    <row r="4" spans="1:9" s="32" customFormat="1" x14ac:dyDescent="0.3">
      <c r="A4" s="283"/>
      <c r="B4" s="283"/>
      <c r="C4" s="283"/>
      <c r="D4" s="284"/>
      <c r="E4" s="284"/>
      <c r="F4" s="283"/>
      <c r="G4" s="283"/>
      <c r="I4" s="242"/>
    </row>
    <row r="5" spans="1:9" x14ac:dyDescent="0.3">
      <c r="A5" s="70" t="s">
        <v>160</v>
      </c>
      <c r="B5" s="13" t="s">
        <v>82</v>
      </c>
      <c r="C5" s="12" t="s">
        <v>5</v>
      </c>
      <c r="D5" s="68">
        <v>46174</v>
      </c>
      <c r="F5" t="s">
        <v>763</v>
      </c>
      <c r="I5" t="s">
        <v>763</v>
      </c>
    </row>
    <row r="6" spans="1:9" x14ac:dyDescent="0.3">
      <c r="A6" s="207" t="s">
        <v>161</v>
      </c>
      <c r="B6" s="208" t="s">
        <v>82</v>
      </c>
      <c r="C6" s="209" t="s">
        <v>6</v>
      </c>
      <c r="D6" s="210">
        <v>46174</v>
      </c>
      <c r="E6" s="210"/>
      <c r="F6" s="206" t="s">
        <v>763</v>
      </c>
      <c r="G6" s="206"/>
      <c r="I6" t="s">
        <v>764</v>
      </c>
    </row>
    <row r="7" spans="1:9" x14ac:dyDescent="0.3">
      <c r="A7" s="70" t="s">
        <v>162</v>
      </c>
      <c r="B7" s="13" t="s">
        <v>83</v>
      </c>
      <c r="C7" s="12" t="s">
        <v>7</v>
      </c>
      <c r="E7" s="68">
        <v>46174</v>
      </c>
      <c r="F7" t="s">
        <v>764</v>
      </c>
    </row>
    <row r="8" spans="1:9" x14ac:dyDescent="0.3">
      <c r="A8" s="207" t="s">
        <v>164</v>
      </c>
      <c r="B8" s="208" t="s">
        <v>84</v>
      </c>
      <c r="C8" s="209" t="s">
        <v>8</v>
      </c>
      <c r="D8" s="210">
        <v>46174</v>
      </c>
      <c r="E8" s="210"/>
      <c r="F8" s="206" t="s">
        <v>763</v>
      </c>
      <c r="G8" s="206"/>
    </row>
    <row r="9" spans="1:9" x14ac:dyDescent="0.3">
      <c r="A9" s="70" t="s">
        <v>165</v>
      </c>
      <c r="B9" s="13" t="s">
        <v>84</v>
      </c>
      <c r="C9" s="12" t="s">
        <v>10</v>
      </c>
      <c r="D9" s="68">
        <v>46174</v>
      </c>
      <c r="F9" t="s">
        <v>763</v>
      </c>
    </row>
    <row r="10" spans="1:9" x14ac:dyDescent="0.3">
      <c r="A10" s="207" t="s">
        <v>166</v>
      </c>
      <c r="B10" s="208" t="s">
        <v>85</v>
      </c>
      <c r="C10" s="209" t="s">
        <v>11</v>
      </c>
      <c r="D10" s="210"/>
      <c r="E10" s="210">
        <v>46175</v>
      </c>
      <c r="F10" s="206" t="s">
        <v>764</v>
      </c>
      <c r="G10" s="206"/>
    </row>
    <row r="11" spans="1:9" x14ac:dyDescent="0.3">
      <c r="A11" s="70" t="s">
        <v>167</v>
      </c>
      <c r="B11" s="13" t="s">
        <v>85</v>
      </c>
      <c r="C11" s="12" t="s">
        <v>12</v>
      </c>
      <c r="E11" s="68">
        <v>46175</v>
      </c>
      <c r="F11" t="s">
        <v>764</v>
      </c>
      <c r="G11" s="17"/>
      <c r="H11" s="17"/>
    </row>
    <row r="12" spans="1:9" x14ac:dyDescent="0.3">
      <c r="A12" s="207" t="s">
        <v>168</v>
      </c>
      <c r="B12" s="208" t="s">
        <v>86</v>
      </c>
      <c r="C12" s="209" t="s">
        <v>13</v>
      </c>
      <c r="D12" s="210">
        <v>46174</v>
      </c>
      <c r="E12" s="210"/>
      <c r="F12" s="206" t="s">
        <v>763</v>
      </c>
      <c r="G12" s="211"/>
      <c r="H12" s="17"/>
    </row>
    <row r="13" spans="1:9" x14ac:dyDescent="0.3">
      <c r="A13" s="70" t="s">
        <v>169</v>
      </c>
      <c r="B13" s="13" t="s">
        <v>86</v>
      </c>
      <c r="C13" s="12" t="s">
        <v>14</v>
      </c>
      <c r="E13" s="68">
        <v>46174</v>
      </c>
      <c r="F13" t="s">
        <v>763</v>
      </c>
      <c r="G13" s="17"/>
      <c r="H13" s="17"/>
    </row>
    <row r="14" spans="1:9" x14ac:dyDescent="0.3">
      <c r="A14" s="207" t="s">
        <v>170</v>
      </c>
      <c r="B14" s="208" t="s">
        <v>87</v>
      </c>
      <c r="C14" s="209" t="s">
        <v>15</v>
      </c>
      <c r="D14" s="210">
        <v>46174</v>
      </c>
      <c r="E14" s="210"/>
      <c r="F14" s="206" t="s">
        <v>763</v>
      </c>
      <c r="G14" s="211"/>
      <c r="H14" s="17"/>
    </row>
    <row r="15" spans="1:9" x14ac:dyDescent="0.3">
      <c r="A15" s="70" t="s">
        <v>171</v>
      </c>
      <c r="B15" s="13" t="s">
        <v>87</v>
      </c>
      <c r="C15" s="12" t="s">
        <v>16</v>
      </c>
      <c r="E15" s="68">
        <v>46176</v>
      </c>
      <c r="F15" t="s">
        <v>764</v>
      </c>
      <c r="G15" s="17"/>
      <c r="H15" s="17"/>
    </row>
    <row r="16" spans="1:9" x14ac:dyDescent="0.3">
      <c r="A16" s="207" t="s">
        <v>172</v>
      </c>
      <c r="B16" s="208" t="s">
        <v>88</v>
      </c>
      <c r="C16" s="209" t="s">
        <v>17</v>
      </c>
      <c r="D16" s="210"/>
      <c r="E16" s="210">
        <v>46176</v>
      </c>
      <c r="F16" s="206" t="s">
        <v>764</v>
      </c>
      <c r="G16" s="211"/>
      <c r="H16" s="17"/>
    </row>
    <row r="17" spans="1:8" x14ac:dyDescent="0.3">
      <c r="A17" s="70" t="s">
        <v>173</v>
      </c>
      <c r="B17" s="13" t="s">
        <v>88</v>
      </c>
      <c r="C17" s="12" t="s">
        <v>18</v>
      </c>
      <c r="D17" s="68">
        <v>46174</v>
      </c>
      <c r="F17" t="s">
        <v>763</v>
      </c>
      <c r="G17" s="17"/>
      <c r="H17" s="17"/>
    </row>
    <row r="18" spans="1:8" x14ac:dyDescent="0.3">
      <c r="A18" s="207" t="s">
        <v>174</v>
      </c>
      <c r="B18" s="208" t="s">
        <v>89</v>
      </c>
      <c r="C18" s="209" t="s">
        <v>19</v>
      </c>
      <c r="D18" s="210">
        <v>46174</v>
      </c>
      <c r="E18" s="210"/>
      <c r="F18" s="206" t="s">
        <v>763</v>
      </c>
      <c r="G18" s="211"/>
      <c r="H18" s="17"/>
    </row>
    <row r="19" spans="1:8" x14ac:dyDescent="0.3">
      <c r="A19" s="70" t="s">
        <v>175</v>
      </c>
      <c r="B19" s="13" t="s">
        <v>89</v>
      </c>
      <c r="C19" s="12" t="s">
        <v>21</v>
      </c>
      <c r="D19" s="68">
        <v>46174</v>
      </c>
      <c r="F19" t="s">
        <v>763</v>
      </c>
      <c r="G19" s="17"/>
      <c r="H19" s="17"/>
    </row>
    <row r="20" spans="1:8" x14ac:dyDescent="0.3">
      <c r="A20" s="207" t="s">
        <v>176</v>
      </c>
      <c r="B20" s="208" t="s">
        <v>90</v>
      </c>
      <c r="C20" s="209" t="s">
        <v>22</v>
      </c>
      <c r="D20" s="210">
        <v>46174</v>
      </c>
      <c r="E20" s="210">
        <v>46188</v>
      </c>
      <c r="F20" s="206" t="s">
        <v>764</v>
      </c>
      <c r="G20" s="211"/>
      <c r="H20" s="17"/>
    </row>
    <row r="21" spans="1:8" x14ac:dyDescent="0.3">
      <c r="A21" s="70" t="s">
        <v>177</v>
      </c>
      <c r="B21" s="13" t="s">
        <v>90</v>
      </c>
      <c r="C21" s="12" t="s">
        <v>23</v>
      </c>
      <c r="D21" s="68">
        <v>46174</v>
      </c>
      <c r="F21" t="s">
        <v>763</v>
      </c>
      <c r="G21" s="17"/>
      <c r="H21" s="17"/>
    </row>
    <row r="22" spans="1:8" x14ac:dyDescent="0.3">
      <c r="A22" s="207" t="s">
        <v>178</v>
      </c>
      <c r="B22" s="208" t="s">
        <v>91</v>
      </c>
      <c r="C22" s="209" t="s">
        <v>25</v>
      </c>
      <c r="D22" s="210">
        <v>46174</v>
      </c>
      <c r="E22" s="210"/>
      <c r="F22" s="206" t="s">
        <v>763</v>
      </c>
      <c r="G22" s="211"/>
      <c r="H22" s="17"/>
    </row>
    <row r="23" spans="1:8" x14ac:dyDescent="0.3">
      <c r="A23" s="70" t="s">
        <v>179</v>
      </c>
      <c r="B23" s="13" t="s">
        <v>91</v>
      </c>
      <c r="C23" s="12" t="s">
        <v>26</v>
      </c>
      <c r="D23" s="68">
        <v>46174</v>
      </c>
      <c r="F23" t="s">
        <v>763</v>
      </c>
      <c r="G23" s="17"/>
      <c r="H23" s="17"/>
    </row>
    <row r="24" spans="1:8" x14ac:dyDescent="0.3">
      <c r="A24" s="207" t="s">
        <v>172</v>
      </c>
      <c r="B24" s="208" t="s">
        <v>88</v>
      </c>
      <c r="C24" s="209" t="s">
        <v>17</v>
      </c>
      <c r="D24" s="210">
        <v>46188</v>
      </c>
      <c r="E24" s="210"/>
      <c r="F24" s="206" t="s">
        <v>763</v>
      </c>
      <c r="G24" s="211"/>
      <c r="H24" s="17"/>
    </row>
    <row r="25" spans="1:8" x14ac:dyDescent="0.3">
      <c r="A25" s="70" t="s">
        <v>162</v>
      </c>
      <c r="B25" s="13" t="s">
        <v>83</v>
      </c>
      <c r="C25" s="12" t="s">
        <v>7</v>
      </c>
      <c r="D25" s="68">
        <v>46190</v>
      </c>
      <c r="F25" t="s">
        <v>763</v>
      </c>
    </row>
    <row r="26" spans="1:8" x14ac:dyDescent="0.3">
      <c r="A26" s="70"/>
      <c r="B26" s="13"/>
      <c r="C26" s="12"/>
    </row>
    <row r="27" spans="1:8" x14ac:dyDescent="0.3">
      <c r="A27" s="70"/>
      <c r="B27" s="13"/>
      <c r="C27" s="12"/>
    </row>
    <row r="28" spans="1:8" x14ac:dyDescent="0.3">
      <c r="A28" s="51" t="s">
        <v>709</v>
      </c>
    </row>
    <row r="29" spans="1:8" x14ac:dyDescent="0.3">
      <c r="A29" t="s">
        <v>1636</v>
      </c>
    </row>
    <row r="30" spans="1:8" x14ac:dyDescent="0.3">
      <c r="A30" t="s">
        <v>1637</v>
      </c>
    </row>
  </sheetData>
  <mergeCells count="8">
    <mergeCell ref="F3:F4"/>
    <mergeCell ref="G3:G4"/>
    <mergeCell ref="I3:I4"/>
    <mergeCell ref="A3:A4"/>
    <mergeCell ref="B3:B4"/>
    <mergeCell ref="C3:C4"/>
    <mergeCell ref="D3:D4"/>
    <mergeCell ref="E3:E4"/>
  </mergeCells>
  <dataValidations count="1">
    <dataValidation type="list" allowBlank="1" showInputMessage="1" showErrorMessage="1" sqref="F5:F27" xr:uid="{5F0D6C09-18BD-4E53-A520-094D782BC844}">
      <formula1>$I$5:$I$8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1809-248D-48E2-9CC3-9F0C71969414}">
  <dimension ref="A1:K28"/>
  <sheetViews>
    <sheetView workbookViewId="0">
      <selection activeCell="E3" sqref="E3:E4"/>
    </sheetView>
  </sheetViews>
  <sheetFormatPr defaultRowHeight="14.4" x14ac:dyDescent="0.3"/>
  <cols>
    <col min="1" max="1" width="5.44140625" customWidth="1"/>
    <col min="3" max="3" width="21.33203125" customWidth="1"/>
    <col min="4" max="4" width="18" bestFit="1" customWidth="1"/>
    <col min="5" max="5" width="17" customWidth="1"/>
    <col min="6" max="6" width="10.33203125" bestFit="1" customWidth="1"/>
    <col min="7" max="7" width="11.21875" customWidth="1"/>
    <col min="8" max="8" width="11.77734375" style="15" customWidth="1"/>
    <col min="9" max="9" width="19.5546875" bestFit="1" customWidth="1"/>
    <col min="11" max="11" width="15.88671875" bestFit="1" customWidth="1"/>
  </cols>
  <sheetData>
    <row r="1" spans="1:11" s="33" customFormat="1" ht="15.6" x14ac:dyDescent="0.3">
      <c r="A1" s="33" t="s">
        <v>1641</v>
      </c>
      <c r="H1" s="34"/>
      <c r="I1" s="43">
        <f ca="1">NOW()</f>
        <v>46231.490396990739</v>
      </c>
    </row>
    <row r="2" spans="1:11" s="33" customFormat="1" ht="15.6" x14ac:dyDescent="0.3">
      <c r="H2" s="34"/>
      <c r="K2" s="17" t="s">
        <v>681</v>
      </c>
    </row>
    <row r="3" spans="1:11" x14ac:dyDescent="0.3">
      <c r="A3" s="245" t="s">
        <v>79</v>
      </c>
      <c r="B3" s="245" t="s">
        <v>629</v>
      </c>
      <c r="C3" s="245" t="s">
        <v>99</v>
      </c>
      <c r="D3" s="245" t="s">
        <v>646</v>
      </c>
      <c r="E3" s="245" t="s">
        <v>630</v>
      </c>
      <c r="F3" s="286" t="s">
        <v>620</v>
      </c>
      <c r="G3" s="286"/>
      <c r="H3" s="286"/>
      <c r="I3" s="245" t="s">
        <v>637</v>
      </c>
      <c r="K3" s="242" t="s">
        <v>97</v>
      </c>
    </row>
    <row r="4" spans="1:11" s="32" customFormat="1" x14ac:dyDescent="0.3">
      <c r="A4" s="285"/>
      <c r="B4" s="285"/>
      <c r="C4" s="285"/>
      <c r="D4" s="285"/>
      <c r="E4" s="285"/>
      <c r="F4" s="222" t="s">
        <v>1</v>
      </c>
      <c r="G4" s="222" t="s">
        <v>635</v>
      </c>
      <c r="H4" s="222" t="s">
        <v>27</v>
      </c>
      <c r="I4" s="285"/>
      <c r="K4" s="242"/>
    </row>
    <row r="5" spans="1:11" x14ac:dyDescent="0.3">
      <c r="A5" s="223">
        <v>1</v>
      </c>
      <c r="B5" s="224" t="s">
        <v>160</v>
      </c>
      <c r="C5" s="214" t="s">
        <v>82</v>
      </c>
      <c r="D5" s="225" t="s">
        <v>4</v>
      </c>
      <c r="E5" s="226" t="s">
        <v>687</v>
      </c>
      <c r="F5" s="227">
        <v>1</v>
      </c>
      <c r="G5" s="223">
        <v>1</v>
      </c>
      <c r="H5" s="223">
        <f>F5-G5</f>
        <v>0</v>
      </c>
      <c r="I5" s="216" t="s">
        <v>771</v>
      </c>
      <c r="K5" t="s">
        <v>771</v>
      </c>
    </row>
    <row r="6" spans="1:11" x14ac:dyDescent="0.3">
      <c r="A6" s="228">
        <v>2</v>
      </c>
      <c r="B6" s="229" t="s">
        <v>161</v>
      </c>
      <c r="C6" s="208" t="s">
        <v>82</v>
      </c>
      <c r="D6" s="230" t="s">
        <v>4</v>
      </c>
      <c r="E6" s="231" t="s">
        <v>687</v>
      </c>
      <c r="F6" s="232">
        <v>1</v>
      </c>
      <c r="G6" s="228">
        <v>1</v>
      </c>
      <c r="H6" s="228">
        <f t="shared" ref="H6:H24" si="0">F6-G6</f>
        <v>0</v>
      </c>
      <c r="I6" s="206" t="s">
        <v>771</v>
      </c>
      <c r="K6" t="s">
        <v>27</v>
      </c>
    </row>
    <row r="7" spans="1:11" x14ac:dyDescent="0.3">
      <c r="A7" s="223">
        <v>3</v>
      </c>
      <c r="B7" s="224" t="s">
        <v>162</v>
      </c>
      <c r="C7" s="214" t="s">
        <v>83</v>
      </c>
      <c r="D7" s="225" t="s">
        <v>4</v>
      </c>
      <c r="E7" s="226" t="s">
        <v>711</v>
      </c>
      <c r="F7" s="227">
        <v>1</v>
      </c>
      <c r="G7" s="223">
        <v>1</v>
      </c>
      <c r="H7" s="223">
        <f t="shared" si="0"/>
        <v>0</v>
      </c>
      <c r="I7" s="216" t="s">
        <v>771</v>
      </c>
    </row>
    <row r="8" spans="1:11" x14ac:dyDescent="0.3">
      <c r="A8" s="228">
        <v>4</v>
      </c>
      <c r="B8" s="229" t="s">
        <v>163</v>
      </c>
      <c r="C8" s="208" t="s">
        <v>83</v>
      </c>
      <c r="D8" s="230" t="s">
        <v>4</v>
      </c>
      <c r="E8" s="231"/>
      <c r="F8" s="232">
        <v>1</v>
      </c>
      <c r="G8" s="228">
        <v>0</v>
      </c>
      <c r="H8" s="228">
        <f t="shared" si="0"/>
        <v>1</v>
      </c>
      <c r="I8" s="206" t="s">
        <v>27</v>
      </c>
    </row>
    <row r="9" spans="1:11" x14ac:dyDescent="0.3">
      <c r="A9" s="223">
        <v>5</v>
      </c>
      <c r="B9" s="224" t="s">
        <v>164</v>
      </c>
      <c r="C9" s="214" t="s">
        <v>84</v>
      </c>
      <c r="D9" s="225" t="s">
        <v>4</v>
      </c>
      <c r="E9" s="226" t="s">
        <v>687</v>
      </c>
      <c r="F9" s="227">
        <v>1</v>
      </c>
      <c r="G9" s="223">
        <v>1</v>
      </c>
      <c r="H9" s="223">
        <f t="shared" si="0"/>
        <v>0</v>
      </c>
      <c r="I9" s="216" t="s">
        <v>771</v>
      </c>
    </row>
    <row r="10" spans="1:11" x14ac:dyDescent="0.3">
      <c r="A10" s="228">
        <v>6</v>
      </c>
      <c r="B10" s="229" t="s">
        <v>165</v>
      </c>
      <c r="C10" s="208" t="s">
        <v>84</v>
      </c>
      <c r="D10" s="230" t="s">
        <v>4</v>
      </c>
      <c r="E10" s="231" t="s">
        <v>687</v>
      </c>
      <c r="F10" s="232">
        <v>1</v>
      </c>
      <c r="G10" s="228">
        <v>1</v>
      </c>
      <c r="H10" s="228">
        <f t="shared" si="0"/>
        <v>0</v>
      </c>
      <c r="I10" s="206" t="s">
        <v>771</v>
      </c>
    </row>
    <row r="11" spans="1:11" x14ac:dyDescent="0.3">
      <c r="A11" s="223">
        <v>7</v>
      </c>
      <c r="B11" s="224" t="s">
        <v>166</v>
      </c>
      <c r="C11" s="214" t="s">
        <v>85</v>
      </c>
      <c r="D11" s="225" t="s">
        <v>4</v>
      </c>
      <c r="E11" s="226" t="s">
        <v>688</v>
      </c>
      <c r="F11" s="227">
        <v>1</v>
      </c>
      <c r="G11" s="223">
        <v>1</v>
      </c>
      <c r="H11" s="223">
        <f t="shared" si="0"/>
        <v>0</v>
      </c>
      <c r="I11" s="216" t="s">
        <v>771</v>
      </c>
    </row>
    <row r="12" spans="1:11" x14ac:dyDescent="0.3">
      <c r="A12" s="228">
        <v>8</v>
      </c>
      <c r="B12" s="229" t="s">
        <v>167</v>
      </c>
      <c r="C12" s="208" t="s">
        <v>85</v>
      </c>
      <c r="D12" s="230" t="s">
        <v>4</v>
      </c>
      <c r="E12" s="231" t="s">
        <v>688</v>
      </c>
      <c r="F12" s="232">
        <v>1</v>
      </c>
      <c r="G12" s="228">
        <v>1</v>
      </c>
      <c r="H12" s="228">
        <f t="shared" si="0"/>
        <v>0</v>
      </c>
      <c r="I12" s="206" t="s">
        <v>771</v>
      </c>
    </row>
    <row r="13" spans="1:11" x14ac:dyDescent="0.3">
      <c r="A13" s="223">
        <v>9</v>
      </c>
      <c r="B13" s="224" t="s">
        <v>168</v>
      </c>
      <c r="C13" s="214" t="s">
        <v>86</v>
      </c>
      <c r="D13" s="225" t="s">
        <v>4</v>
      </c>
      <c r="E13" s="226" t="s">
        <v>687</v>
      </c>
      <c r="F13" s="227">
        <v>1</v>
      </c>
      <c r="G13" s="223">
        <v>1</v>
      </c>
      <c r="H13" s="223">
        <f t="shared" si="0"/>
        <v>0</v>
      </c>
      <c r="I13" s="216" t="s">
        <v>771</v>
      </c>
    </row>
    <row r="14" spans="1:11" x14ac:dyDescent="0.3">
      <c r="A14" s="228">
        <v>10</v>
      </c>
      <c r="B14" s="229" t="s">
        <v>169</v>
      </c>
      <c r="C14" s="208" t="s">
        <v>86</v>
      </c>
      <c r="D14" s="230" t="s">
        <v>4</v>
      </c>
      <c r="E14" s="231" t="s">
        <v>687</v>
      </c>
      <c r="F14" s="232">
        <v>1</v>
      </c>
      <c r="G14" s="228">
        <v>1</v>
      </c>
      <c r="H14" s="228">
        <f t="shared" si="0"/>
        <v>0</v>
      </c>
      <c r="I14" s="206" t="s">
        <v>771</v>
      </c>
    </row>
    <row r="15" spans="1:11" x14ac:dyDescent="0.3">
      <c r="A15" s="223">
        <v>11</v>
      </c>
      <c r="B15" s="224" t="s">
        <v>170</v>
      </c>
      <c r="C15" s="214" t="s">
        <v>87</v>
      </c>
      <c r="D15" s="225" t="s">
        <v>4</v>
      </c>
      <c r="E15" s="226" t="s">
        <v>711</v>
      </c>
      <c r="F15" s="227">
        <v>1</v>
      </c>
      <c r="G15" s="223">
        <v>1</v>
      </c>
      <c r="H15" s="223">
        <f t="shared" si="0"/>
        <v>0</v>
      </c>
      <c r="I15" s="216" t="s">
        <v>771</v>
      </c>
    </row>
    <row r="16" spans="1:11" x14ac:dyDescent="0.3">
      <c r="A16" s="228">
        <v>12</v>
      </c>
      <c r="B16" s="229" t="s">
        <v>171</v>
      </c>
      <c r="C16" s="208" t="s">
        <v>87</v>
      </c>
      <c r="D16" s="230" t="s">
        <v>4</v>
      </c>
      <c r="E16" s="231" t="s">
        <v>688</v>
      </c>
      <c r="F16" s="232">
        <v>1</v>
      </c>
      <c r="G16" s="228">
        <v>1</v>
      </c>
      <c r="H16" s="228">
        <f t="shared" si="0"/>
        <v>0</v>
      </c>
      <c r="I16" s="206" t="s">
        <v>771</v>
      </c>
    </row>
    <row r="17" spans="1:9" x14ac:dyDescent="0.3">
      <c r="A17" s="223">
        <v>13</v>
      </c>
      <c r="B17" s="224" t="s">
        <v>172</v>
      </c>
      <c r="C17" s="214" t="s">
        <v>88</v>
      </c>
      <c r="D17" s="225" t="s">
        <v>4</v>
      </c>
      <c r="E17" s="226" t="s">
        <v>687</v>
      </c>
      <c r="F17" s="227">
        <v>1</v>
      </c>
      <c r="G17" s="223">
        <v>1</v>
      </c>
      <c r="H17" s="223">
        <f t="shared" si="0"/>
        <v>0</v>
      </c>
      <c r="I17" s="216" t="s">
        <v>771</v>
      </c>
    </row>
    <row r="18" spans="1:9" x14ac:dyDescent="0.3">
      <c r="A18" s="228">
        <v>14</v>
      </c>
      <c r="B18" s="229" t="s">
        <v>173</v>
      </c>
      <c r="C18" s="208" t="s">
        <v>88</v>
      </c>
      <c r="D18" s="230" t="s">
        <v>4</v>
      </c>
      <c r="E18" s="231" t="s">
        <v>687</v>
      </c>
      <c r="F18" s="232">
        <v>1</v>
      </c>
      <c r="G18" s="228">
        <v>1</v>
      </c>
      <c r="H18" s="228">
        <f t="shared" si="0"/>
        <v>0</v>
      </c>
      <c r="I18" s="206" t="s">
        <v>771</v>
      </c>
    </row>
    <row r="19" spans="1:9" x14ac:dyDescent="0.3">
      <c r="A19" s="223">
        <v>15</v>
      </c>
      <c r="B19" s="224" t="s">
        <v>174</v>
      </c>
      <c r="C19" s="214" t="s">
        <v>89</v>
      </c>
      <c r="D19" s="225" t="s">
        <v>4</v>
      </c>
      <c r="E19" s="226" t="s">
        <v>687</v>
      </c>
      <c r="F19" s="227">
        <v>1</v>
      </c>
      <c r="G19" s="223">
        <v>1</v>
      </c>
      <c r="H19" s="223">
        <f t="shared" si="0"/>
        <v>0</v>
      </c>
      <c r="I19" s="216" t="s">
        <v>771</v>
      </c>
    </row>
    <row r="20" spans="1:9" x14ac:dyDescent="0.3">
      <c r="A20" s="228">
        <v>16</v>
      </c>
      <c r="B20" s="229" t="s">
        <v>175</v>
      </c>
      <c r="C20" s="208" t="s">
        <v>89</v>
      </c>
      <c r="D20" s="230" t="s">
        <v>4</v>
      </c>
      <c r="E20" s="231" t="s">
        <v>687</v>
      </c>
      <c r="F20" s="232">
        <v>1</v>
      </c>
      <c r="G20" s="228">
        <v>1</v>
      </c>
      <c r="H20" s="228">
        <f t="shared" si="0"/>
        <v>0</v>
      </c>
      <c r="I20" s="206" t="s">
        <v>771</v>
      </c>
    </row>
    <row r="21" spans="1:9" x14ac:dyDescent="0.3">
      <c r="A21" s="223">
        <v>17</v>
      </c>
      <c r="B21" s="224" t="s">
        <v>176</v>
      </c>
      <c r="C21" s="214" t="s">
        <v>90</v>
      </c>
      <c r="D21" s="225" t="s">
        <v>4</v>
      </c>
      <c r="E21" s="226" t="s">
        <v>687</v>
      </c>
      <c r="F21" s="227">
        <v>1</v>
      </c>
      <c r="G21" s="223">
        <v>1</v>
      </c>
      <c r="H21" s="223">
        <f t="shared" si="0"/>
        <v>0</v>
      </c>
      <c r="I21" s="216" t="s">
        <v>771</v>
      </c>
    </row>
    <row r="22" spans="1:9" x14ac:dyDescent="0.3">
      <c r="A22" s="228">
        <v>18</v>
      </c>
      <c r="B22" s="229" t="s">
        <v>177</v>
      </c>
      <c r="C22" s="208" t="s">
        <v>90</v>
      </c>
      <c r="D22" s="230" t="s">
        <v>4</v>
      </c>
      <c r="E22" s="231" t="s">
        <v>687</v>
      </c>
      <c r="F22" s="232">
        <v>1</v>
      </c>
      <c r="G22" s="228">
        <v>1</v>
      </c>
      <c r="H22" s="228">
        <f t="shared" si="0"/>
        <v>0</v>
      </c>
      <c r="I22" s="206" t="s">
        <v>771</v>
      </c>
    </row>
    <row r="23" spans="1:9" x14ac:dyDescent="0.3">
      <c r="A23" s="223">
        <v>19</v>
      </c>
      <c r="B23" s="224" t="s">
        <v>178</v>
      </c>
      <c r="C23" s="214" t="s">
        <v>91</v>
      </c>
      <c r="D23" s="225" t="s">
        <v>4</v>
      </c>
      <c r="E23" s="226" t="s">
        <v>687</v>
      </c>
      <c r="F23" s="227">
        <v>1</v>
      </c>
      <c r="G23" s="223">
        <v>1</v>
      </c>
      <c r="H23" s="223">
        <f t="shared" si="0"/>
        <v>0</v>
      </c>
      <c r="I23" s="216" t="s">
        <v>771</v>
      </c>
    </row>
    <row r="24" spans="1:9" x14ac:dyDescent="0.3">
      <c r="A24" s="228">
        <v>20</v>
      </c>
      <c r="B24" s="229" t="s">
        <v>179</v>
      </c>
      <c r="C24" s="208" t="s">
        <v>91</v>
      </c>
      <c r="D24" s="230" t="s">
        <v>4</v>
      </c>
      <c r="E24" s="231" t="s">
        <v>687</v>
      </c>
      <c r="F24" s="232">
        <v>1</v>
      </c>
      <c r="G24" s="228">
        <v>1</v>
      </c>
      <c r="H24" s="228">
        <f t="shared" si="0"/>
        <v>0</v>
      </c>
      <c r="I24" s="206" t="s">
        <v>771</v>
      </c>
    </row>
    <row r="28" spans="1:9" x14ac:dyDescent="0.3">
      <c r="B28" s="72" t="s">
        <v>770</v>
      </c>
    </row>
  </sheetData>
  <mergeCells count="8">
    <mergeCell ref="K3:K4"/>
    <mergeCell ref="B3:B4"/>
    <mergeCell ref="A3:A4"/>
    <mergeCell ref="E3:E4"/>
    <mergeCell ref="I3:I4"/>
    <mergeCell ref="F3:H3"/>
    <mergeCell ref="D3:D4"/>
    <mergeCell ref="C3:C4"/>
  </mergeCells>
  <dataValidations count="1">
    <dataValidation type="list" allowBlank="1" showInputMessage="1" showErrorMessage="1" sqref="I5:I24" xr:uid="{E3BAD3E3-324B-4EA1-BE06-C3FDFA7CD802}">
      <formula1>$K$5:$K$7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2D38-46D7-4290-8C68-1E90FEFCE5F4}">
  <sheetPr>
    <tabColor rgb="FFFF0000"/>
  </sheetPr>
  <dimension ref="A1:I12"/>
  <sheetViews>
    <sheetView zoomScaleNormal="100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E3" sqref="E3"/>
    </sheetView>
  </sheetViews>
  <sheetFormatPr defaultRowHeight="14.4" x14ac:dyDescent="0.3"/>
  <cols>
    <col min="1" max="1" width="7.33203125" customWidth="1"/>
    <col min="2" max="2" width="16.77734375" style="191" customWidth="1"/>
    <col min="3" max="3" width="11.6640625" style="23" customWidth="1"/>
    <col min="4" max="4" width="12.5546875" style="18" customWidth="1"/>
    <col min="5" max="6" width="14.77734375" style="15" customWidth="1"/>
    <col min="7" max="7" width="12.5546875" customWidth="1"/>
    <col min="9" max="9" width="20.44140625" bestFit="1" customWidth="1"/>
  </cols>
  <sheetData>
    <row r="1" spans="1:9" s="37" customFormat="1" ht="15.6" x14ac:dyDescent="0.3">
      <c r="A1" s="33" t="s">
        <v>1642</v>
      </c>
      <c r="B1" s="190"/>
      <c r="C1" s="73"/>
      <c r="D1" s="36"/>
      <c r="E1" s="34"/>
      <c r="F1" s="34"/>
      <c r="G1" s="33"/>
    </row>
    <row r="2" spans="1:9" s="37" customFormat="1" ht="15.6" x14ac:dyDescent="0.3">
      <c r="A2" s="33"/>
      <c r="B2" s="190"/>
      <c r="C2" s="73"/>
      <c r="D2" s="36"/>
      <c r="E2" s="34"/>
      <c r="F2" s="34"/>
      <c r="G2" s="33"/>
      <c r="I2" s="17" t="s">
        <v>681</v>
      </c>
    </row>
    <row r="3" spans="1:9" s="18" customFormat="1" ht="24.6" customHeight="1" x14ac:dyDescent="0.3">
      <c r="A3" s="192" t="s">
        <v>626</v>
      </c>
      <c r="B3" s="233" t="s">
        <v>629</v>
      </c>
      <c r="C3" s="234" t="s">
        <v>1603</v>
      </c>
      <c r="D3" s="193" t="s">
        <v>1602</v>
      </c>
      <c r="E3" s="192" t="s">
        <v>1643</v>
      </c>
      <c r="F3" s="192" t="s">
        <v>1645</v>
      </c>
      <c r="G3" s="192" t="s">
        <v>637</v>
      </c>
      <c r="I3" s="49" t="s">
        <v>1643</v>
      </c>
    </row>
    <row r="4" spans="1:9" x14ac:dyDescent="0.3">
      <c r="A4" s="15"/>
      <c r="B4" s="194" t="s">
        <v>1604</v>
      </c>
      <c r="C4" s="12" t="s">
        <v>1622</v>
      </c>
      <c r="D4" s="13">
        <v>17</v>
      </c>
      <c r="E4" s="15" t="s">
        <v>1644</v>
      </c>
      <c r="I4" t="s">
        <v>1644</v>
      </c>
    </row>
    <row r="5" spans="1:9" x14ac:dyDescent="0.3">
      <c r="A5" s="195"/>
      <c r="B5" s="196" t="s">
        <v>1605</v>
      </c>
      <c r="C5" s="197" t="s">
        <v>1622</v>
      </c>
      <c r="D5" s="198">
        <v>10</v>
      </c>
      <c r="E5" s="195" t="s">
        <v>1644</v>
      </c>
      <c r="F5" s="195"/>
      <c r="G5" s="199"/>
      <c r="I5" t="s">
        <v>1646</v>
      </c>
    </row>
    <row r="6" spans="1:9" x14ac:dyDescent="0.3">
      <c r="A6" s="15"/>
      <c r="B6" s="194" t="s">
        <v>1606</v>
      </c>
      <c r="C6" s="12" t="s">
        <v>1622</v>
      </c>
      <c r="D6" s="13">
        <v>10</v>
      </c>
      <c r="E6" s="15" t="s">
        <v>1644</v>
      </c>
    </row>
    <row r="7" spans="1:9" x14ac:dyDescent="0.3">
      <c r="A7" s="195"/>
      <c r="B7" s="196" t="s">
        <v>1607</v>
      </c>
      <c r="C7" s="197" t="s">
        <v>1622</v>
      </c>
      <c r="D7" s="198">
        <v>10</v>
      </c>
      <c r="E7" s="195" t="s">
        <v>1644</v>
      </c>
      <c r="F7" s="195"/>
      <c r="G7" s="199"/>
    </row>
    <row r="8" spans="1:9" x14ac:dyDescent="0.3">
      <c r="A8" s="15"/>
      <c r="B8" s="194" t="s">
        <v>1608</v>
      </c>
      <c r="C8" s="12" t="s">
        <v>1622</v>
      </c>
      <c r="D8" s="13">
        <v>30</v>
      </c>
      <c r="E8" s="15" t="s">
        <v>1644</v>
      </c>
    </row>
    <row r="9" spans="1:9" x14ac:dyDescent="0.3">
      <c r="A9" s="195"/>
      <c r="B9" s="196" t="s">
        <v>1609</v>
      </c>
      <c r="C9" s="197" t="s">
        <v>1622</v>
      </c>
      <c r="D9" s="198">
        <v>50</v>
      </c>
      <c r="E9" s="195" t="s">
        <v>1644</v>
      </c>
      <c r="F9" s="195"/>
      <c r="G9" s="199"/>
    </row>
    <row r="10" spans="1:9" x14ac:dyDescent="0.3">
      <c r="A10" s="15"/>
      <c r="B10" s="194" t="s">
        <v>1610</v>
      </c>
      <c r="C10" s="12" t="s">
        <v>1622</v>
      </c>
      <c r="D10" s="13">
        <v>40</v>
      </c>
      <c r="E10" s="15" t="s">
        <v>1644</v>
      </c>
    </row>
    <row r="11" spans="1:9" x14ac:dyDescent="0.3">
      <c r="A11" s="195"/>
      <c r="B11" s="196" t="s">
        <v>1611</v>
      </c>
      <c r="C11" s="197" t="s">
        <v>1622</v>
      </c>
      <c r="D11" s="198">
        <v>50</v>
      </c>
      <c r="E11" s="195" t="s">
        <v>1644</v>
      </c>
      <c r="F11" s="195"/>
      <c r="G11" s="199"/>
    </row>
    <row r="12" spans="1:9" x14ac:dyDescent="0.3">
      <c r="A12" s="15"/>
      <c r="B12" s="194" t="s">
        <v>1612</v>
      </c>
      <c r="C12" s="12" t="s">
        <v>1622</v>
      </c>
      <c r="D12" s="13">
        <v>60</v>
      </c>
      <c r="E12" s="15" t="s">
        <v>1644</v>
      </c>
    </row>
  </sheetData>
  <dataValidations count="1">
    <dataValidation type="list" allowBlank="1" showInputMessage="1" showErrorMessage="1" sqref="E4:E12" xr:uid="{74B3DD78-6A9E-45EC-AC62-3614F2539B6A}">
      <formula1>$I$4:$I$6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5C8E-8236-4D4D-AAE7-955C37654FEA}">
  <dimension ref="A1:O6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F15" sqref="F15"/>
    </sheetView>
  </sheetViews>
  <sheetFormatPr defaultRowHeight="14.4" x14ac:dyDescent="0.3"/>
  <cols>
    <col min="1" max="1" width="5" customWidth="1"/>
    <col min="2" max="2" width="15.109375" style="68" customWidth="1"/>
    <col min="3" max="3" width="8" bestFit="1" customWidth="1"/>
    <col min="4" max="4" width="15.77734375" bestFit="1" customWidth="1"/>
    <col min="5" max="5" width="16.5546875" bestFit="1" customWidth="1"/>
    <col min="6" max="6" width="31.5546875" bestFit="1" customWidth="1"/>
    <col min="7" max="7" width="10.109375" customWidth="1"/>
    <col min="8" max="8" width="11.44140625" bestFit="1" customWidth="1"/>
    <col min="9" max="9" width="42.5546875" bestFit="1" customWidth="1"/>
    <col min="10" max="10" width="11.77734375" bestFit="1" customWidth="1"/>
    <col min="11" max="11" width="12.88671875" bestFit="1" customWidth="1"/>
    <col min="12" max="12" width="13.88671875" bestFit="1" customWidth="1"/>
    <col min="13" max="13" width="19.5546875" bestFit="1" customWidth="1"/>
    <col min="15" max="15" width="15.88671875" bestFit="1" customWidth="1"/>
  </cols>
  <sheetData>
    <row r="1" spans="1:15" s="39" customFormat="1" ht="15.6" x14ac:dyDescent="0.3">
      <c r="A1" s="38" t="s">
        <v>631</v>
      </c>
      <c r="B1" s="77"/>
      <c r="G1" s="33"/>
      <c r="H1" s="33"/>
      <c r="I1" s="40"/>
      <c r="J1" s="40"/>
      <c r="K1" s="33"/>
      <c r="L1" s="17"/>
      <c r="M1" s="43">
        <f ca="1">NOW()</f>
        <v>46231.490396990739</v>
      </c>
    </row>
    <row r="2" spans="1:15" s="2" customFormat="1" x14ac:dyDescent="0.3">
      <c r="B2" s="78"/>
      <c r="E2" s="1"/>
      <c r="G2"/>
      <c r="H2"/>
      <c r="I2" s="3"/>
      <c r="J2" s="3"/>
      <c r="K2"/>
      <c r="L2"/>
      <c r="O2" s="17" t="s">
        <v>681</v>
      </c>
    </row>
    <row r="3" spans="1:15" s="84" customFormat="1" ht="28.8" x14ac:dyDescent="0.3">
      <c r="A3" s="81" t="s">
        <v>79</v>
      </c>
      <c r="B3" s="82" t="s">
        <v>626</v>
      </c>
      <c r="C3" s="81" t="s">
        <v>0</v>
      </c>
      <c r="D3" s="83" t="s">
        <v>99</v>
      </c>
      <c r="E3" s="83" t="s">
        <v>646</v>
      </c>
      <c r="F3" s="81" t="s">
        <v>632</v>
      </c>
      <c r="G3" s="48" t="s">
        <v>704</v>
      </c>
      <c r="H3" s="48" t="s">
        <v>101</v>
      </c>
      <c r="I3" s="83" t="s">
        <v>633</v>
      </c>
      <c r="J3" s="83" t="s">
        <v>707</v>
      </c>
      <c r="K3" s="48" t="s">
        <v>102</v>
      </c>
      <c r="L3" s="48" t="s">
        <v>634</v>
      </c>
      <c r="M3" s="41" t="s">
        <v>628</v>
      </c>
      <c r="O3" s="85" t="s">
        <v>628</v>
      </c>
    </row>
    <row r="4" spans="1:15" s="16" customFormat="1" ht="13.8" x14ac:dyDescent="0.3">
      <c r="A4" s="19">
        <v>1</v>
      </c>
      <c r="B4" s="86">
        <v>46174</v>
      </c>
      <c r="C4" s="64" t="s">
        <v>160</v>
      </c>
      <c r="D4" s="6" t="s">
        <v>82</v>
      </c>
      <c r="E4" s="87" t="s">
        <v>4</v>
      </c>
      <c r="F4" s="5" t="s">
        <v>5</v>
      </c>
      <c r="G4" s="5"/>
      <c r="H4" s="5" t="s">
        <v>2</v>
      </c>
      <c r="I4" s="5" t="s">
        <v>718</v>
      </c>
      <c r="J4" s="5" t="s">
        <v>52</v>
      </c>
      <c r="K4" s="5" t="s">
        <v>73</v>
      </c>
      <c r="L4" s="5" t="s">
        <v>687</v>
      </c>
      <c r="M4" s="19" t="s">
        <v>772</v>
      </c>
      <c r="O4" s="16" t="s">
        <v>772</v>
      </c>
    </row>
    <row r="5" spans="1:15" s="16" customFormat="1" ht="13.8" x14ac:dyDescent="0.3">
      <c r="A5" s="19">
        <v>2</v>
      </c>
      <c r="B5" s="86">
        <v>46174</v>
      </c>
      <c r="C5" s="64" t="s">
        <v>161</v>
      </c>
      <c r="D5" s="6" t="s">
        <v>82</v>
      </c>
      <c r="E5" s="87" t="s">
        <v>4</v>
      </c>
      <c r="F5" s="5" t="s">
        <v>6</v>
      </c>
      <c r="G5" s="5"/>
      <c r="H5" s="5" t="s">
        <v>2</v>
      </c>
      <c r="I5" s="5" t="s">
        <v>719</v>
      </c>
      <c r="J5" s="5" t="s">
        <v>52</v>
      </c>
      <c r="K5" s="5" t="s">
        <v>73</v>
      </c>
      <c r="L5" s="5" t="s">
        <v>687</v>
      </c>
      <c r="M5" s="19" t="s">
        <v>772</v>
      </c>
      <c r="O5" s="16" t="s">
        <v>773</v>
      </c>
    </row>
    <row r="6" spans="1:15" s="16" customFormat="1" ht="13.8" x14ac:dyDescent="0.3">
      <c r="A6" s="19">
        <v>3</v>
      </c>
      <c r="B6" s="86">
        <v>46174</v>
      </c>
      <c r="C6" s="64" t="s">
        <v>162</v>
      </c>
      <c r="D6" s="6" t="s">
        <v>83</v>
      </c>
      <c r="E6" s="87" t="s">
        <v>4</v>
      </c>
      <c r="F6" s="5" t="s">
        <v>7</v>
      </c>
      <c r="G6" s="5"/>
      <c r="H6" s="5" t="s">
        <v>733</v>
      </c>
      <c r="I6" s="5" t="s">
        <v>720</v>
      </c>
      <c r="J6" s="5" t="s">
        <v>708</v>
      </c>
      <c r="K6" s="5" t="s">
        <v>731</v>
      </c>
      <c r="L6" s="5" t="s">
        <v>688</v>
      </c>
      <c r="M6" s="19" t="s">
        <v>773</v>
      </c>
    </row>
    <row r="7" spans="1:15" s="16" customFormat="1" ht="13.8" x14ac:dyDescent="0.3">
      <c r="A7" s="19">
        <v>4</v>
      </c>
      <c r="B7" s="86">
        <v>46174</v>
      </c>
      <c r="C7" s="64" t="s">
        <v>164</v>
      </c>
      <c r="D7" s="6" t="s">
        <v>84</v>
      </c>
      <c r="E7" s="87" t="s">
        <v>4</v>
      </c>
      <c r="F7" s="5" t="s">
        <v>8</v>
      </c>
      <c r="G7" s="5"/>
      <c r="H7" s="5" t="s">
        <v>2</v>
      </c>
      <c r="I7" s="5" t="s">
        <v>9</v>
      </c>
      <c r="J7" s="5" t="s">
        <v>52</v>
      </c>
      <c r="K7" s="5" t="s">
        <v>73</v>
      </c>
      <c r="L7" s="5" t="s">
        <v>687</v>
      </c>
      <c r="M7" s="19" t="s">
        <v>772</v>
      </c>
    </row>
    <row r="8" spans="1:15" s="16" customFormat="1" ht="13.8" x14ac:dyDescent="0.3">
      <c r="A8" s="19">
        <v>5</v>
      </c>
      <c r="B8" s="86">
        <v>46174</v>
      </c>
      <c r="C8" s="64" t="s">
        <v>165</v>
      </c>
      <c r="D8" s="6" t="s">
        <v>84</v>
      </c>
      <c r="E8" s="87" t="s">
        <v>4</v>
      </c>
      <c r="F8" s="5" t="s">
        <v>10</v>
      </c>
      <c r="G8" s="5"/>
      <c r="H8" s="5" t="s">
        <v>2</v>
      </c>
      <c r="I8" s="5" t="s">
        <v>721</v>
      </c>
      <c r="J8" s="5" t="s">
        <v>52</v>
      </c>
      <c r="K8" s="5" t="s">
        <v>73</v>
      </c>
      <c r="L8" s="5" t="s">
        <v>687</v>
      </c>
      <c r="M8" s="19" t="s">
        <v>772</v>
      </c>
    </row>
    <row r="9" spans="1:15" s="16" customFormat="1" ht="13.8" x14ac:dyDescent="0.3">
      <c r="A9" s="19">
        <v>6</v>
      </c>
      <c r="B9" s="86">
        <v>46174</v>
      </c>
      <c r="C9" s="64" t="s">
        <v>166</v>
      </c>
      <c r="D9" s="6" t="s">
        <v>85</v>
      </c>
      <c r="E9" s="87" t="s">
        <v>4</v>
      </c>
      <c r="F9" s="5" t="s">
        <v>11</v>
      </c>
      <c r="G9" s="5"/>
      <c r="H9" s="5" t="s">
        <v>2</v>
      </c>
      <c r="I9" s="5" t="s">
        <v>56</v>
      </c>
      <c r="J9" s="5" t="s">
        <v>52</v>
      </c>
      <c r="K9" s="5" t="s">
        <v>80</v>
      </c>
      <c r="L9" s="5" t="s">
        <v>688</v>
      </c>
      <c r="M9" s="19" t="s">
        <v>772</v>
      </c>
    </row>
    <row r="10" spans="1:15" s="16" customFormat="1" ht="13.8" x14ac:dyDescent="0.3">
      <c r="A10" s="19">
        <v>7</v>
      </c>
      <c r="B10" s="86">
        <v>46174</v>
      </c>
      <c r="C10" s="64" t="s">
        <v>167</v>
      </c>
      <c r="D10" s="6" t="s">
        <v>85</v>
      </c>
      <c r="E10" s="87" t="s">
        <v>4</v>
      </c>
      <c r="F10" s="5" t="s">
        <v>12</v>
      </c>
      <c r="G10" s="5"/>
      <c r="H10" s="5" t="s">
        <v>2</v>
      </c>
      <c r="I10" s="5" t="s">
        <v>56</v>
      </c>
      <c r="J10" s="5" t="s">
        <v>52</v>
      </c>
      <c r="K10" s="5" t="s">
        <v>80</v>
      </c>
      <c r="L10" s="5" t="s">
        <v>688</v>
      </c>
      <c r="M10" s="19" t="s">
        <v>772</v>
      </c>
      <c r="N10" s="88"/>
    </row>
    <row r="11" spans="1:15" s="16" customFormat="1" ht="13.8" x14ac:dyDescent="0.3">
      <c r="A11" s="19">
        <v>8</v>
      </c>
      <c r="B11" s="86">
        <v>46174</v>
      </c>
      <c r="C11" s="64" t="s">
        <v>168</v>
      </c>
      <c r="D11" s="6" t="s">
        <v>86</v>
      </c>
      <c r="E11" s="87" t="s">
        <v>4</v>
      </c>
      <c r="F11" s="5" t="s">
        <v>13</v>
      </c>
      <c r="G11" s="5"/>
      <c r="H11" s="5" t="s">
        <v>2</v>
      </c>
      <c r="I11" s="5" t="s">
        <v>722</v>
      </c>
      <c r="J11" s="5" t="s">
        <v>52</v>
      </c>
      <c r="K11" s="5" t="s">
        <v>73</v>
      </c>
      <c r="L11" s="5" t="s">
        <v>687</v>
      </c>
      <c r="M11" s="19" t="s">
        <v>772</v>
      </c>
      <c r="N11" s="88"/>
    </row>
    <row r="12" spans="1:15" s="16" customFormat="1" ht="13.8" x14ac:dyDescent="0.3">
      <c r="A12" s="19">
        <v>9</v>
      </c>
      <c r="B12" s="86">
        <v>46174</v>
      </c>
      <c r="C12" s="64" t="s">
        <v>169</v>
      </c>
      <c r="D12" s="6" t="s">
        <v>86</v>
      </c>
      <c r="E12" s="87" t="s">
        <v>4</v>
      </c>
      <c r="F12" s="5" t="s">
        <v>14</v>
      </c>
      <c r="G12" s="5"/>
      <c r="H12" s="5" t="s">
        <v>2</v>
      </c>
      <c r="I12" s="5" t="s">
        <v>723</v>
      </c>
      <c r="J12" s="5" t="s">
        <v>52</v>
      </c>
      <c r="K12" s="5" t="s">
        <v>73</v>
      </c>
      <c r="L12" s="5" t="s">
        <v>687</v>
      </c>
      <c r="M12" s="19" t="s">
        <v>773</v>
      </c>
      <c r="N12" s="88"/>
    </row>
    <row r="13" spans="1:15" s="16" customFormat="1" ht="13.8" x14ac:dyDescent="0.3">
      <c r="A13" s="19">
        <v>10</v>
      </c>
      <c r="B13" s="86">
        <v>46174</v>
      </c>
      <c r="C13" s="64" t="s">
        <v>170</v>
      </c>
      <c r="D13" s="6" t="s">
        <v>87</v>
      </c>
      <c r="E13" s="87" t="s">
        <v>4</v>
      </c>
      <c r="F13" s="5" t="s">
        <v>15</v>
      </c>
      <c r="G13" s="5"/>
      <c r="H13" s="5" t="s">
        <v>730</v>
      </c>
      <c r="I13" s="5" t="s">
        <v>724</v>
      </c>
      <c r="J13" s="5" t="s">
        <v>708</v>
      </c>
      <c r="K13" s="5" t="s">
        <v>80</v>
      </c>
      <c r="L13" s="5" t="s">
        <v>687</v>
      </c>
      <c r="M13" s="19" t="s">
        <v>772</v>
      </c>
      <c r="N13" s="88"/>
    </row>
    <row r="14" spans="1:15" s="16" customFormat="1" ht="13.8" x14ac:dyDescent="0.3">
      <c r="A14" s="19">
        <v>11</v>
      </c>
      <c r="B14" s="86">
        <v>46174</v>
      </c>
      <c r="C14" s="64" t="s">
        <v>171</v>
      </c>
      <c r="D14" s="6" t="s">
        <v>87</v>
      </c>
      <c r="E14" s="87" t="s">
        <v>4</v>
      </c>
      <c r="F14" s="5" t="s">
        <v>16</v>
      </c>
      <c r="G14" s="5"/>
      <c r="H14" s="5" t="s">
        <v>2</v>
      </c>
      <c r="I14" s="5" t="s">
        <v>56</v>
      </c>
      <c r="J14" s="5" t="s">
        <v>52</v>
      </c>
      <c r="K14" s="5" t="s">
        <v>80</v>
      </c>
      <c r="L14" s="5" t="s">
        <v>688</v>
      </c>
      <c r="M14" s="19" t="s">
        <v>772</v>
      </c>
      <c r="N14" s="88"/>
    </row>
    <row r="15" spans="1:15" s="16" customFormat="1" ht="13.8" x14ac:dyDescent="0.3">
      <c r="A15" s="19">
        <v>12</v>
      </c>
      <c r="B15" s="86">
        <v>46174</v>
      </c>
      <c r="C15" s="64" t="s">
        <v>172</v>
      </c>
      <c r="D15" s="6" t="s">
        <v>88</v>
      </c>
      <c r="E15" s="87" t="s">
        <v>4</v>
      </c>
      <c r="F15" s="5" t="s">
        <v>17</v>
      </c>
      <c r="G15" s="5"/>
      <c r="H15" s="5" t="s">
        <v>2</v>
      </c>
      <c r="I15" s="5" t="s">
        <v>725</v>
      </c>
      <c r="J15" s="5" t="s">
        <v>52</v>
      </c>
      <c r="K15" s="5" t="s">
        <v>80</v>
      </c>
      <c r="L15" s="5" t="s">
        <v>687</v>
      </c>
      <c r="M15" s="19" t="s">
        <v>772</v>
      </c>
      <c r="N15" s="88"/>
    </row>
    <row r="16" spans="1:15" s="16" customFormat="1" ht="13.8" x14ac:dyDescent="0.3">
      <c r="A16" s="19">
        <v>13</v>
      </c>
      <c r="B16" s="86">
        <v>46174</v>
      </c>
      <c r="C16" s="64" t="s">
        <v>173</v>
      </c>
      <c r="D16" s="6" t="s">
        <v>88</v>
      </c>
      <c r="E16" s="87" t="s">
        <v>4</v>
      </c>
      <c r="F16" s="5" t="s">
        <v>18</v>
      </c>
      <c r="G16" s="5"/>
      <c r="H16" s="5" t="s">
        <v>2</v>
      </c>
      <c r="I16" s="5" t="s">
        <v>726</v>
      </c>
      <c r="J16" s="5" t="s">
        <v>52</v>
      </c>
      <c r="K16" s="5" t="s">
        <v>73</v>
      </c>
      <c r="L16" s="5" t="s">
        <v>687</v>
      </c>
      <c r="M16" s="19" t="s">
        <v>772</v>
      </c>
      <c r="N16" s="88"/>
    </row>
    <row r="17" spans="1:14" s="16" customFormat="1" ht="13.8" x14ac:dyDescent="0.3">
      <c r="A17" s="19">
        <v>14</v>
      </c>
      <c r="B17" s="86">
        <v>46174</v>
      </c>
      <c r="C17" s="64" t="s">
        <v>174</v>
      </c>
      <c r="D17" s="6" t="s">
        <v>89</v>
      </c>
      <c r="E17" s="87" t="s">
        <v>4</v>
      </c>
      <c r="F17" s="5" t="s">
        <v>19</v>
      </c>
      <c r="G17" s="5"/>
      <c r="H17" s="5" t="s">
        <v>2</v>
      </c>
      <c r="I17" s="5" t="s">
        <v>20</v>
      </c>
      <c r="J17" s="5" t="s">
        <v>52</v>
      </c>
      <c r="K17" s="5" t="s">
        <v>73</v>
      </c>
      <c r="L17" s="5" t="s">
        <v>687</v>
      </c>
      <c r="M17" s="19" t="s">
        <v>772</v>
      </c>
      <c r="N17" s="88"/>
    </row>
    <row r="18" spans="1:14" s="16" customFormat="1" ht="13.8" x14ac:dyDescent="0.3">
      <c r="A18" s="19">
        <v>15</v>
      </c>
      <c r="B18" s="86">
        <v>46174</v>
      </c>
      <c r="C18" s="64" t="s">
        <v>175</v>
      </c>
      <c r="D18" s="6" t="s">
        <v>89</v>
      </c>
      <c r="E18" s="87" t="s">
        <v>4</v>
      </c>
      <c r="F18" s="5" t="s">
        <v>21</v>
      </c>
      <c r="G18" s="5"/>
      <c r="H18" s="5" t="s">
        <v>2</v>
      </c>
      <c r="I18" s="5" t="s">
        <v>20</v>
      </c>
      <c r="J18" s="5" t="s">
        <v>52</v>
      </c>
      <c r="K18" s="5" t="s">
        <v>73</v>
      </c>
      <c r="L18" s="5" t="s">
        <v>687</v>
      </c>
      <c r="M18" s="19" t="s">
        <v>772</v>
      </c>
      <c r="N18" s="88"/>
    </row>
    <row r="19" spans="1:14" s="16" customFormat="1" ht="13.8" x14ac:dyDescent="0.3">
      <c r="A19" s="19">
        <v>16</v>
      </c>
      <c r="B19" s="86">
        <v>46174</v>
      </c>
      <c r="C19" s="64" t="s">
        <v>176</v>
      </c>
      <c r="D19" s="6" t="s">
        <v>90</v>
      </c>
      <c r="E19" s="87" t="s">
        <v>4</v>
      </c>
      <c r="F19" s="5" t="s">
        <v>22</v>
      </c>
      <c r="G19" s="5"/>
      <c r="H19" s="5" t="s">
        <v>2</v>
      </c>
      <c r="I19" s="5" t="s">
        <v>729</v>
      </c>
      <c r="J19" s="5" t="s">
        <v>52</v>
      </c>
      <c r="K19" s="5" t="s">
        <v>80</v>
      </c>
      <c r="L19" s="5" t="s">
        <v>687</v>
      </c>
      <c r="M19" s="19" t="s">
        <v>772</v>
      </c>
      <c r="N19" s="88"/>
    </row>
    <row r="20" spans="1:14" s="16" customFormat="1" ht="13.8" x14ac:dyDescent="0.3">
      <c r="A20" s="19">
        <v>17</v>
      </c>
      <c r="B20" s="86">
        <v>46174</v>
      </c>
      <c r="C20" s="64" t="s">
        <v>177</v>
      </c>
      <c r="D20" s="6" t="s">
        <v>90</v>
      </c>
      <c r="E20" s="87" t="s">
        <v>4</v>
      </c>
      <c r="F20" s="5" t="s">
        <v>23</v>
      </c>
      <c r="G20" s="5"/>
      <c r="H20" s="5" t="s">
        <v>2</v>
      </c>
      <c r="I20" s="5" t="s">
        <v>24</v>
      </c>
      <c r="J20" s="5" t="s">
        <v>52</v>
      </c>
      <c r="K20" s="5" t="s">
        <v>73</v>
      </c>
      <c r="L20" s="5" t="s">
        <v>687</v>
      </c>
      <c r="M20" s="19" t="s">
        <v>772</v>
      </c>
      <c r="N20" s="88"/>
    </row>
    <row r="21" spans="1:14" s="16" customFormat="1" ht="13.8" x14ac:dyDescent="0.3">
      <c r="A21" s="19">
        <v>18</v>
      </c>
      <c r="B21" s="86">
        <v>46174</v>
      </c>
      <c r="C21" s="64" t="s">
        <v>178</v>
      </c>
      <c r="D21" s="6" t="s">
        <v>91</v>
      </c>
      <c r="E21" s="87" t="s">
        <v>4</v>
      </c>
      <c r="F21" s="5" t="s">
        <v>25</v>
      </c>
      <c r="G21" s="5"/>
      <c r="H21" s="5" t="s">
        <v>2</v>
      </c>
      <c r="I21" s="5" t="s">
        <v>727</v>
      </c>
      <c r="J21" s="5" t="s">
        <v>52</v>
      </c>
      <c r="K21" s="5" t="s">
        <v>73</v>
      </c>
      <c r="L21" s="5" t="s">
        <v>687</v>
      </c>
      <c r="M21" s="19" t="s">
        <v>772</v>
      </c>
      <c r="N21" s="88"/>
    </row>
    <row r="22" spans="1:14" s="16" customFormat="1" ht="13.8" x14ac:dyDescent="0.3">
      <c r="A22" s="19">
        <v>19</v>
      </c>
      <c r="B22" s="86">
        <v>46174</v>
      </c>
      <c r="C22" s="64" t="s">
        <v>179</v>
      </c>
      <c r="D22" s="6" t="s">
        <v>91</v>
      </c>
      <c r="E22" s="87" t="s">
        <v>4</v>
      </c>
      <c r="F22" s="5" t="s">
        <v>26</v>
      </c>
      <c r="G22" s="5"/>
      <c r="H22" s="5" t="s">
        <v>2</v>
      </c>
      <c r="I22" s="5" t="s">
        <v>728</v>
      </c>
      <c r="J22" s="5" t="s">
        <v>52</v>
      </c>
      <c r="K22" s="5" t="s">
        <v>73</v>
      </c>
      <c r="L22" s="5" t="s">
        <v>687</v>
      </c>
      <c r="M22" s="19" t="s">
        <v>772</v>
      </c>
      <c r="N22" s="88"/>
    </row>
    <row r="23" spans="1:14" s="91" customFormat="1" ht="13.8" x14ac:dyDescent="0.3">
      <c r="A23" s="44">
        <v>20</v>
      </c>
      <c r="B23" s="89">
        <v>46175</v>
      </c>
      <c r="C23" s="80" t="s">
        <v>160</v>
      </c>
      <c r="D23" s="9" t="s">
        <v>82</v>
      </c>
      <c r="E23" s="90" t="s">
        <v>4</v>
      </c>
      <c r="F23" s="8" t="s">
        <v>5</v>
      </c>
      <c r="G23" s="8"/>
      <c r="H23" s="8" t="s">
        <v>2</v>
      </c>
      <c r="I23" s="8" t="s">
        <v>718</v>
      </c>
      <c r="J23" s="8" t="s">
        <v>52</v>
      </c>
      <c r="K23" s="8" t="s">
        <v>73</v>
      </c>
      <c r="L23" s="8" t="s">
        <v>687</v>
      </c>
      <c r="M23" s="44" t="s">
        <v>772</v>
      </c>
    </row>
    <row r="24" spans="1:14" s="16" customFormat="1" ht="13.8" x14ac:dyDescent="0.3">
      <c r="A24" s="19">
        <v>21</v>
      </c>
      <c r="B24" s="86">
        <v>46175</v>
      </c>
      <c r="C24" s="64" t="s">
        <v>161</v>
      </c>
      <c r="D24" s="6" t="s">
        <v>82</v>
      </c>
      <c r="E24" s="87" t="s">
        <v>4</v>
      </c>
      <c r="F24" s="5" t="s">
        <v>6</v>
      </c>
      <c r="G24" s="5"/>
      <c r="H24" s="5" t="s">
        <v>2</v>
      </c>
      <c r="I24" s="5" t="s">
        <v>719</v>
      </c>
      <c r="J24" s="5" t="s">
        <v>52</v>
      </c>
      <c r="K24" s="5" t="s">
        <v>73</v>
      </c>
      <c r="L24" s="5" t="s">
        <v>687</v>
      </c>
      <c r="M24" s="19" t="s">
        <v>772</v>
      </c>
    </row>
    <row r="25" spans="1:14" s="16" customFormat="1" ht="13.8" x14ac:dyDescent="0.3">
      <c r="A25" s="19">
        <v>23</v>
      </c>
      <c r="B25" s="86">
        <v>46175</v>
      </c>
      <c r="C25" s="64" t="s">
        <v>164</v>
      </c>
      <c r="D25" s="6" t="s">
        <v>84</v>
      </c>
      <c r="E25" s="87" t="s">
        <v>4</v>
      </c>
      <c r="F25" s="5" t="s">
        <v>8</v>
      </c>
      <c r="G25" s="5"/>
      <c r="H25" s="5" t="s">
        <v>2</v>
      </c>
      <c r="I25" s="5" t="s">
        <v>9</v>
      </c>
      <c r="J25" s="5" t="s">
        <v>52</v>
      </c>
      <c r="K25" s="5" t="s">
        <v>73</v>
      </c>
      <c r="L25" s="5" t="s">
        <v>687</v>
      </c>
      <c r="M25" s="19" t="s">
        <v>772</v>
      </c>
    </row>
    <row r="26" spans="1:14" s="16" customFormat="1" ht="13.8" x14ac:dyDescent="0.3">
      <c r="A26" s="19">
        <v>24</v>
      </c>
      <c r="B26" s="86">
        <v>46175</v>
      </c>
      <c r="C26" s="64" t="s">
        <v>165</v>
      </c>
      <c r="D26" s="6" t="s">
        <v>84</v>
      </c>
      <c r="E26" s="87" t="s">
        <v>4</v>
      </c>
      <c r="F26" s="5" t="s">
        <v>10</v>
      </c>
      <c r="G26" s="5"/>
      <c r="H26" s="5" t="s">
        <v>2</v>
      </c>
      <c r="I26" s="5" t="s">
        <v>721</v>
      </c>
      <c r="J26" s="5" t="s">
        <v>52</v>
      </c>
      <c r="K26" s="5" t="s">
        <v>73</v>
      </c>
      <c r="L26" s="5" t="s">
        <v>687</v>
      </c>
      <c r="M26" s="19" t="s">
        <v>772</v>
      </c>
    </row>
    <row r="27" spans="1:14" s="16" customFormat="1" ht="13.8" x14ac:dyDescent="0.3">
      <c r="A27" s="19">
        <v>25</v>
      </c>
      <c r="B27" s="86">
        <v>46175</v>
      </c>
      <c r="C27" s="64" t="s">
        <v>166</v>
      </c>
      <c r="D27" s="6" t="s">
        <v>85</v>
      </c>
      <c r="E27" s="87" t="s">
        <v>4</v>
      </c>
      <c r="F27" s="5" t="s">
        <v>11</v>
      </c>
      <c r="G27" s="5"/>
      <c r="H27" s="5" t="s">
        <v>2</v>
      </c>
      <c r="I27" s="5" t="s">
        <v>56</v>
      </c>
      <c r="J27" s="5" t="s">
        <v>52</v>
      </c>
      <c r="K27" s="5" t="s">
        <v>80</v>
      </c>
      <c r="L27" s="5" t="s">
        <v>688</v>
      </c>
      <c r="M27" s="19" t="s">
        <v>773</v>
      </c>
    </row>
    <row r="28" spans="1:14" s="16" customFormat="1" ht="13.8" x14ac:dyDescent="0.3">
      <c r="A28" s="19">
        <v>26</v>
      </c>
      <c r="B28" s="86">
        <v>46175</v>
      </c>
      <c r="C28" s="64" t="s">
        <v>167</v>
      </c>
      <c r="D28" s="6" t="s">
        <v>85</v>
      </c>
      <c r="E28" s="87" t="s">
        <v>4</v>
      </c>
      <c r="F28" s="5" t="s">
        <v>12</v>
      </c>
      <c r="G28" s="5"/>
      <c r="H28" s="5" t="s">
        <v>2</v>
      </c>
      <c r="I28" s="5" t="s">
        <v>56</v>
      </c>
      <c r="J28" s="5" t="s">
        <v>52</v>
      </c>
      <c r="K28" s="5" t="s">
        <v>80</v>
      </c>
      <c r="L28" s="5" t="s">
        <v>688</v>
      </c>
      <c r="M28" s="19" t="s">
        <v>773</v>
      </c>
      <c r="N28" s="88"/>
    </row>
    <row r="29" spans="1:14" s="16" customFormat="1" ht="13.8" x14ac:dyDescent="0.3">
      <c r="A29" s="19">
        <v>27</v>
      </c>
      <c r="B29" s="86">
        <v>46175</v>
      </c>
      <c r="C29" s="64" t="s">
        <v>168</v>
      </c>
      <c r="D29" s="6" t="s">
        <v>86</v>
      </c>
      <c r="E29" s="87" t="s">
        <v>4</v>
      </c>
      <c r="F29" s="5" t="s">
        <v>13</v>
      </c>
      <c r="G29" s="5"/>
      <c r="H29" s="5" t="s">
        <v>2</v>
      </c>
      <c r="I29" s="5" t="s">
        <v>722</v>
      </c>
      <c r="J29" s="5" t="s">
        <v>52</v>
      </c>
      <c r="K29" s="5" t="s">
        <v>73</v>
      </c>
      <c r="L29" s="5" t="s">
        <v>687</v>
      </c>
      <c r="M29" s="19" t="s">
        <v>772</v>
      </c>
      <c r="N29" s="88"/>
    </row>
    <row r="30" spans="1:14" s="16" customFormat="1" ht="13.8" x14ac:dyDescent="0.3">
      <c r="A30" s="19">
        <v>28</v>
      </c>
      <c r="B30" s="86">
        <v>46175</v>
      </c>
      <c r="C30" s="64" t="s">
        <v>169</v>
      </c>
      <c r="D30" s="6" t="s">
        <v>86</v>
      </c>
      <c r="E30" s="87" t="s">
        <v>4</v>
      </c>
      <c r="F30" s="5" t="s">
        <v>14</v>
      </c>
      <c r="G30" s="5"/>
      <c r="H30" s="5" t="s">
        <v>2</v>
      </c>
      <c r="I30" s="5" t="s">
        <v>723</v>
      </c>
      <c r="J30" s="5" t="s">
        <v>52</v>
      </c>
      <c r="K30" s="5" t="s">
        <v>73</v>
      </c>
      <c r="L30" s="5" t="s">
        <v>687</v>
      </c>
      <c r="M30" s="44" t="s">
        <v>773</v>
      </c>
      <c r="N30" s="88"/>
    </row>
    <row r="31" spans="1:14" s="16" customFormat="1" ht="13.8" x14ac:dyDescent="0.3">
      <c r="A31" s="19">
        <v>29</v>
      </c>
      <c r="B31" s="86">
        <v>46175</v>
      </c>
      <c r="C31" s="64" t="s">
        <v>170</v>
      </c>
      <c r="D31" s="6" t="s">
        <v>87</v>
      </c>
      <c r="E31" s="87" t="s">
        <v>4</v>
      </c>
      <c r="F31" s="5" t="s">
        <v>15</v>
      </c>
      <c r="G31" s="5"/>
      <c r="H31" s="5" t="s">
        <v>730</v>
      </c>
      <c r="I31" s="5" t="s">
        <v>724</v>
      </c>
      <c r="J31" s="5" t="s">
        <v>708</v>
      </c>
      <c r="K31" s="5" t="s">
        <v>80</v>
      </c>
      <c r="L31" s="5" t="s">
        <v>687</v>
      </c>
      <c r="M31" s="19" t="s">
        <v>772</v>
      </c>
      <c r="N31" s="88"/>
    </row>
    <row r="32" spans="1:14" s="16" customFormat="1" ht="13.8" x14ac:dyDescent="0.3">
      <c r="A32" s="19">
        <v>30</v>
      </c>
      <c r="B32" s="86">
        <v>46175</v>
      </c>
      <c r="C32" s="64" t="s">
        <v>171</v>
      </c>
      <c r="D32" s="6" t="s">
        <v>87</v>
      </c>
      <c r="E32" s="87" t="s">
        <v>4</v>
      </c>
      <c r="F32" s="5" t="s">
        <v>16</v>
      </c>
      <c r="G32" s="5"/>
      <c r="H32" s="5" t="s">
        <v>2</v>
      </c>
      <c r="I32" s="5" t="s">
        <v>56</v>
      </c>
      <c r="J32" s="5" t="s">
        <v>52</v>
      </c>
      <c r="K32" s="5" t="s">
        <v>80</v>
      </c>
      <c r="L32" s="5" t="s">
        <v>688</v>
      </c>
      <c r="M32" s="19" t="s">
        <v>772</v>
      </c>
      <c r="N32" s="88"/>
    </row>
    <row r="33" spans="1:14" s="16" customFormat="1" ht="13.8" x14ac:dyDescent="0.3">
      <c r="A33" s="19">
        <v>31</v>
      </c>
      <c r="B33" s="86">
        <v>46175</v>
      </c>
      <c r="C33" s="64" t="s">
        <v>172</v>
      </c>
      <c r="D33" s="6" t="s">
        <v>88</v>
      </c>
      <c r="E33" s="87" t="s">
        <v>4</v>
      </c>
      <c r="F33" s="5" t="s">
        <v>17</v>
      </c>
      <c r="G33" s="5"/>
      <c r="H33" s="5" t="s">
        <v>2</v>
      </c>
      <c r="I33" s="5" t="s">
        <v>725</v>
      </c>
      <c r="J33" s="5" t="s">
        <v>52</v>
      </c>
      <c r="K33" s="5" t="s">
        <v>80</v>
      </c>
      <c r="L33" s="5" t="s">
        <v>687</v>
      </c>
      <c r="M33" s="19" t="s">
        <v>772</v>
      </c>
      <c r="N33" s="88"/>
    </row>
    <row r="34" spans="1:14" s="16" customFormat="1" ht="13.8" x14ac:dyDescent="0.3">
      <c r="A34" s="19">
        <v>32</v>
      </c>
      <c r="B34" s="86">
        <v>46175</v>
      </c>
      <c r="C34" s="64" t="s">
        <v>173</v>
      </c>
      <c r="D34" s="6" t="s">
        <v>88</v>
      </c>
      <c r="E34" s="87" t="s">
        <v>4</v>
      </c>
      <c r="F34" s="5" t="s">
        <v>18</v>
      </c>
      <c r="G34" s="5"/>
      <c r="H34" s="5" t="s">
        <v>2</v>
      </c>
      <c r="I34" s="5" t="s">
        <v>726</v>
      </c>
      <c r="J34" s="5" t="s">
        <v>52</v>
      </c>
      <c r="K34" s="5" t="s">
        <v>73</v>
      </c>
      <c r="L34" s="5" t="s">
        <v>687</v>
      </c>
      <c r="M34" s="19" t="s">
        <v>772</v>
      </c>
      <c r="N34" s="88"/>
    </row>
    <row r="35" spans="1:14" s="16" customFormat="1" ht="13.8" x14ac:dyDescent="0.3">
      <c r="A35" s="19">
        <v>33</v>
      </c>
      <c r="B35" s="86">
        <v>46175</v>
      </c>
      <c r="C35" s="64" t="s">
        <v>174</v>
      </c>
      <c r="D35" s="6" t="s">
        <v>89</v>
      </c>
      <c r="E35" s="87" t="s">
        <v>4</v>
      </c>
      <c r="F35" s="5" t="s">
        <v>19</v>
      </c>
      <c r="G35" s="5"/>
      <c r="H35" s="5" t="s">
        <v>2</v>
      </c>
      <c r="I35" s="5" t="s">
        <v>20</v>
      </c>
      <c r="J35" s="5" t="s">
        <v>52</v>
      </c>
      <c r="K35" s="5" t="s">
        <v>73</v>
      </c>
      <c r="L35" s="5" t="s">
        <v>687</v>
      </c>
      <c r="M35" s="19" t="s">
        <v>772</v>
      </c>
      <c r="N35" s="88"/>
    </row>
    <row r="36" spans="1:14" s="16" customFormat="1" ht="13.8" x14ac:dyDescent="0.3">
      <c r="A36" s="19">
        <v>34</v>
      </c>
      <c r="B36" s="86">
        <v>46175</v>
      </c>
      <c r="C36" s="64" t="s">
        <v>175</v>
      </c>
      <c r="D36" s="6" t="s">
        <v>89</v>
      </c>
      <c r="E36" s="87" t="s">
        <v>4</v>
      </c>
      <c r="F36" s="5" t="s">
        <v>21</v>
      </c>
      <c r="G36" s="5"/>
      <c r="H36" s="5" t="s">
        <v>2</v>
      </c>
      <c r="I36" s="5" t="s">
        <v>20</v>
      </c>
      <c r="J36" s="5" t="s">
        <v>52</v>
      </c>
      <c r="K36" s="5" t="s">
        <v>73</v>
      </c>
      <c r="L36" s="5" t="s">
        <v>687</v>
      </c>
      <c r="M36" s="19" t="s">
        <v>772</v>
      </c>
      <c r="N36" s="88"/>
    </row>
    <row r="37" spans="1:14" s="16" customFormat="1" ht="13.8" x14ac:dyDescent="0.3">
      <c r="A37" s="19">
        <v>35</v>
      </c>
      <c r="B37" s="86">
        <v>46175</v>
      </c>
      <c r="C37" s="64" t="s">
        <v>176</v>
      </c>
      <c r="D37" s="6" t="s">
        <v>90</v>
      </c>
      <c r="E37" s="87" t="s">
        <v>4</v>
      </c>
      <c r="F37" s="5" t="s">
        <v>22</v>
      </c>
      <c r="G37" s="5"/>
      <c r="H37" s="5" t="s">
        <v>2</v>
      </c>
      <c r="I37" s="5" t="s">
        <v>729</v>
      </c>
      <c r="J37" s="5" t="s">
        <v>52</v>
      </c>
      <c r="K37" s="5" t="s">
        <v>80</v>
      </c>
      <c r="L37" s="5" t="s">
        <v>687</v>
      </c>
      <c r="M37" s="19" t="s">
        <v>772</v>
      </c>
      <c r="N37" s="88"/>
    </row>
    <row r="38" spans="1:14" s="16" customFormat="1" ht="13.8" x14ac:dyDescent="0.3">
      <c r="A38" s="19">
        <v>36</v>
      </c>
      <c r="B38" s="86">
        <v>46175</v>
      </c>
      <c r="C38" s="64" t="s">
        <v>177</v>
      </c>
      <c r="D38" s="6" t="s">
        <v>90</v>
      </c>
      <c r="E38" s="87" t="s">
        <v>4</v>
      </c>
      <c r="F38" s="5" t="s">
        <v>23</v>
      </c>
      <c r="G38" s="5"/>
      <c r="H38" s="5" t="s">
        <v>2</v>
      </c>
      <c r="I38" s="5" t="s">
        <v>24</v>
      </c>
      <c r="J38" s="5" t="s">
        <v>52</v>
      </c>
      <c r="K38" s="5" t="s">
        <v>73</v>
      </c>
      <c r="L38" s="5" t="s">
        <v>687</v>
      </c>
      <c r="M38" s="19" t="s">
        <v>772</v>
      </c>
      <c r="N38" s="88"/>
    </row>
    <row r="39" spans="1:14" s="16" customFormat="1" ht="13.8" x14ac:dyDescent="0.3">
      <c r="A39" s="19">
        <v>37</v>
      </c>
      <c r="B39" s="86">
        <v>46175</v>
      </c>
      <c r="C39" s="64" t="s">
        <v>178</v>
      </c>
      <c r="D39" s="6" t="s">
        <v>91</v>
      </c>
      <c r="E39" s="87" t="s">
        <v>4</v>
      </c>
      <c r="F39" s="5" t="s">
        <v>25</v>
      </c>
      <c r="G39" s="5"/>
      <c r="H39" s="5" t="s">
        <v>2</v>
      </c>
      <c r="I39" s="5" t="s">
        <v>727</v>
      </c>
      <c r="J39" s="5" t="s">
        <v>52</v>
      </c>
      <c r="K39" s="5" t="s">
        <v>73</v>
      </c>
      <c r="L39" s="5" t="s">
        <v>687</v>
      </c>
      <c r="M39" s="19" t="s">
        <v>772</v>
      </c>
      <c r="N39" s="88"/>
    </row>
    <row r="40" spans="1:14" s="16" customFormat="1" ht="13.8" x14ac:dyDescent="0.3">
      <c r="A40" s="19">
        <v>38</v>
      </c>
      <c r="B40" s="86">
        <v>46175</v>
      </c>
      <c r="C40" s="64" t="s">
        <v>179</v>
      </c>
      <c r="D40" s="6" t="s">
        <v>91</v>
      </c>
      <c r="E40" s="87" t="s">
        <v>4</v>
      </c>
      <c r="F40" s="5" t="s">
        <v>26</v>
      </c>
      <c r="G40" s="5"/>
      <c r="H40" s="5" t="s">
        <v>2</v>
      </c>
      <c r="I40" s="5" t="s">
        <v>728</v>
      </c>
      <c r="J40" s="5" t="s">
        <v>52</v>
      </c>
      <c r="K40" s="5" t="s">
        <v>73</v>
      </c>
      <c r="L40" s="5" t="s">
        <v>687</v>
      </c>
      <c r="M40" s="19" t="s">
        <v>772</v>
      </c>
      <c r="N40" s="88"/>
    </row>
    <row r="41" spans="1:14" s="91" customFormat="1" ht="13.8" x14ac:dyDescent="0.3">
      <c r="A41" s="44">
        <v>39</v>
      </c>
      <c r="B41" s="89">
        <v>46176</v>
      </c>
      <c r="C41" s="80" t="s">
        <v>160</v>
      </c>
      <c r="D41" s="9" t="s">
        <v>82</v>
      </c>
      <c r="E41" s="90" t="s">
        <v>4</v>
      </c>
      <c r="F41" s="8" t="s">
        <v>5</v>
      </c>
      <c r="G41" s="8"/>
      <c r="H41" s="8" t="s">
        <v>2</v>
      </c>
      <c r="I41" s="8" t="s">
        <v>718</v>
      </c>
      <c r="J41" s="8" t="s">
        <v>52</v>
      </c>
      <c r="K41" s="8" t="s">
        <v>73</v>
      </c>
      <c r="L41" s="8" t="s">
        <v>687</v>
      </c>
      <c r="M41" s="44" t="s">
        <v>772</v>
      </c>
    </row>
    <row r="42" spans="1:14" s="16" customFormat="1" ht="13.8" x14ac:dyDescent="0.3">
      <c r="A42" s="19">
        <v>40</v>
      </c>
      <c r="B42" s="86">
        <v>46176</v>
      </c>
      <c r="C42" s="64" t="s">
        <v>161</v>
      </c>
      <c r="D42" s="6" t="s">
        <v>82</v>
      </c>
      <c r="E42" s="87" t="s">
        <v>4</v>
      </c>
      <c r="F42" s="5" t="s">
        <v>6</v>
      </c>
      <c r="G42" s="5"/>
      <c r="H42" s="5" t="s">
        <v>2</v>
      </c>
      <c r="I42" s="5" t="s">
        <v>719</v>
      </c>
      <c r="J42" s="5" t="s">
        <v>52</v>
      </c>
      <c r="K42" s="5" t="s">
        <v>73</v>
      </c>
      <c r="L42" s="5" t="s">
        <v>687</v>
      </c>
      <c r="M42" s="19" t="s">
        <v>772</v>
      </c>
    </row>
    <row r="43" spans="1:14" s="16" customFormat="1" ht="13.8" x14ac:dyDescent="0.3">
      <c r="A43" s="19">
        <v>42</v>
      </c>
      <c r="B43" s="86">
        <v>46176</v>
      </c>
      <c r="C43" s="64" t="s">
        <v>164</v>
      </c>
      <c r="D43" s="6" t="s">
        <v>84</v>
      </c>
      <c r="E43" s="87" t="s">
        <v>4</v>
      </c>
      <c r="F43" s="5" t="s">
        <v>8</v>
      </c>
      <c r="G43" s="5"/>
      <c r="H43" s="5" t="s">
        <v>2</v>
      </c>
      <c r="I43" s="5" t="s">
        <v>9</v>
      </c>
      <c r="J43" s="5" t="s">
        <v>52</v>
      </c>
      <c r="K43" s="5" t="s">
        <v>73</v>
      </c>
      <c r="L43" s="5" t="s">
        <v>687</v>
      </c>
      <c r="M43" s="19" t="s">
        <v>772</v>
      </c>
    </row>
    <row r="44" spans="1:14" s="16" customFormat="1" ht="13.8" x14ac:dyDescent="0.3">
      <c r="A44" s="19">
        <v>43</v>
      </c>
      <c r="B44" s="86">
        <v>46176</v>
      </c>
      <c r="C44" s="64" t="s">
        <v>165</v>
      </c>
      <c r="D44" s="6" t="s">
        <v>84</v>
      </c>
      <c r="E44" s="87" t="s">
        <v>4</v>
      </c>
      <c r="F44" s="5" t="s">
        <v>10</v>
      </c>
      <c r="G44" s="5"/>
      <c r="H44" s="5" t="s">
        <v>2</v>
      </c>
      <c r="I44" s="5" t="s">
        <v>721</v>
      </c>
      <c r="J44" s="5" t="s">
        <v>52</v>
      </c>
      <c r="K44" s="5" t="s">
        <v>73</v>
      </c>
      <c r="L44" s="5" t="s">
        <v>687</v>
      </c>
      <c r="M44" s="19" t="s">
        <v>772</v>
      </c>
    </row>
    <row r="45" spans="1:14" s="16" customFormat="1" ht="13.8" x14ac:dyDescent="0.3">
      <c r="A45" s="19">
        <v>46</v>
      </c>
      <c r="B45" s="86">
        <v>46176</v>
      </c>
      <c r="C45" s="64" t="s">
        <v>168</v>
      </c>
      <c r="D45" s="6" t="s">
        <v>86</v>
      </c>
      <c r="E45" s="87" t="s">
        <v>4</v>
      </c>
      <c r="F45" s="5" t="s">
        <v>13</v>
      </c>
      <c r="G45" s="5"/>
      <c r="H45" s="5" t="s">
        <v>2</v>
      </c>
      <c r="I45" s="5" t="s">
        <v>722</v>
      </c>
      <c r="J45" s="5" t="s">
        <v>52</v>
      </c>
      <c r="K45" s="5" t="s">
        <v>73</v>
      </c>
      <c r="L45" s="5" t="s">
        <v>687</v>
      </c>
      <c r="M45" s="19" t="s">
        <v>772</v>
      </c>
      <c r="N45" s="88"/>
    </row>
    <row r="46" spans="1:14" s="16" customFormat="1" ht="13.8" x14ac:dyDescent="0.3">
      <c r="A46" s="19">
        <v>47</v>
      </c>
      <c r="B46" s="86">
        <v>46176</v>
      </c>
      <c r="C46" s="64" t="s">
        <v>169</v>
      </c>
      <c r="D46" s="6" t="s">
        <v>86</v>
      </c>
      <c r="E46" s="87" t="s">
        <v>4</v>
      </c>
      <c r="F46" s="5" t="s">
        <v>14</v>
      </c>
      <c r="G46" s="5"/>
      <c r="H46" s="5" t="s">
        <v>2</v>
      </c>
      <c r="I46" s="5" t="s">
        <v>723</v>
      </c>
      <c r="J46" s="5" t="s">
        <v>52</v>
      </c>
      <c r="K46" s="5" t="s">
        <v>73</v>
      </c>
      <c r="L46" s="5" t="s">
        <v>687</v>
      </c>
      <c r="M46" s="44" t="s">
        <v>773</v>
      </c>
      <c r="N46" s="88"/>
    </row>
    <row r="47" spans="1:14" s="16" customFormat="1" ht="13.8" x14ac:dyDescent="0.3">
      <c r="A47" s="19">
        <v>48</v>
      </c>
      <c r="B47" s="86">
        <v>46176</v>
      </c>
      <c r="C47" s="64" t="s">
        <v>170</v>
      </c>
      <c r="D47" s="6" t="s">
        <v>87</v>
      </c>
      <c r="E47" s="87" t="s">
        <v>4</v>
      </c>
      <c r="F47" s="5" t="s">
        <v>15</v>
      </c>
      <c r="G47" s="5"/>
      <c r="H47" s="5" t="s">
        <v>730</v>
      </c>
      <c r="I47" s="5" t="s">
        <v>724</v>
      </c>
      <c r="J47" s="5" t="s">
        <v>708</v>
      </c>
      <c r="K47" s="5" t="s">
        <v>80</v>
      </c>
      <c r="L47" s="5" t="s">
        <v>687</v>
      </c>
      <c r="M47" s="19" t="s">
        <v>772</v>
      </c>
      <c r="N47" s="88"/>
    </row>
    <row r="48" spans="1:14" s="16" customFormat="1" ht="13.8" x14ac:dyDescent="0.3">
      <c r="A48" s="19">
        <v>49</v>
      </c>
      <c r="B48" s="86">
        <v>46176</v>
      </c>
      <c r="C48" s="64" t="s">
        <v>171</v>
      </c>
      <c r="D48" s="6" t="s">
        <v>87</v>
      </c>
      <c r="E48" s="87" t="s">
        <v>4</v>
      </c>
      <c r="F48" s="5" t="s">
        <v>16</v>
      </c>
      <c r="G48" s="5"/>
      <c r="H48" s="5" t="s">
        <v>2</v>
      </c>
      <c r="I48" s="5" t="s">
        <v>56</v>
      </c>
      <c r="J48" s="5" t="s">
        <v>52</v>
      </c>
      <c r="K48" s="5" t="s">
        <v>80</v>
      </c>
      <c r="L48" s="5" t="s">
        <v>688</v>
      </c>
      <c r="M48" s="19" t="s">
        <v>773</v>
      </c>
      <c r="N48" s="88"/>
    </row>
    <row r="49" spans="1:14" s="16" customFormat="1" ht="13.8" x14ac:dyDescent="0.3">
      <c r="A49" s="19">
        <v>50</v>
      </c>
      <c r="B49" s="86">
        <v>46176</v>
      </c>
      <c r="C49" s="64" t="s">
        <v>172</v>
      </c>
      <c r="D49" s="6" t="s">
        <v>88</v>
      </c>
      <c r="E49" s="87" t="s">
        <v>4</v>
      </c>
      <c r="F49" s="5" t="s">
        <v>17</v>
      </c>
      <c r="G49" s="5"/>
      <c r="H49" s="5" t="s">
        <v>2</v>
      </c>
      <c r="I49" s="5" t="s">
        <v>725</v>
      </c>
      <c r="J49" s="5" t="s">
        <v>52</v>
      </c>
      <c r="K49" s="5" t="s">
        <v>80</v>
      </c>
      <c r="L49" s="5" t="s">
        <v>687</v>
      </c>
      <c r="M49" s="19" t="s">
        <v>773</v>
      </c>
      <c r="N49" s="88"/>
    </row>
    <row r="50" spans="1:14" s="16" customFormat="1" ht="13.8" x14ac:dyDescent="0.3">
      <c r="A50" s="19">
        <v>51</v>
      </c>
      <c r="B50" s="86">
        <v>46176</v>
      </c>
      <c r="C50" s="64" t="s">
        <v>173</v>
      </c>
      <c r="D50" s="6" t="s">
        <v>88</v>
      </c>
      <c r="E50" s="87" t="s">
        <v>4</v>
      </c>
      <c r="F50" s="5" t="s">
        <v>18</v>
      </c>
      <c r="G50" s="5"/>
      <c r="H50" s="5" t="s">
        <v>2</v>
      </c>
      <c r="I50" s="5" t="s">
        <v>726</v>
      </c>
      <c r="J50" s="5" t="s">
        <v>52</v>
      </c>
      <c r="K50" s="5" t="s">
        <v>73</v>
      </c>
      <c r="L50" s="5" t="s">
        <v>687</v>
      </c>
      <c r="M50" s="19" t="s">
        <v>772</v>
      </c>
      <c r="N50" s="88"/>
    </row>
    <row r="51" spans="1:14" s="16" customFormat="1" ht="13.8" x14ac:dyDescent="0.3">
      <c r="A51" s="19">
        <v>52</v>
      </c>
      <c r="B51" s="86">
        <v>46176</v>
      </c>
      <c r="C51" s="64" t="s">
        <v>174</v>
      </c>
      <c r="D51" s="6" t="s">
        <v>89</v>
      </c>
      <c r="E51" s="87" t="s">
        <v>4</v>
      </c>
      <c r="F51" s="5" t="s">
        <v>19</v>
      </c>
      <c r="G51" s="5"/>
      <c r="H51" s="5" t="s">
        <v>2</v>
      </c>
      <c r="I51" s="5" t="s">
        <v>20</v>
      </c>
      <c r="J51" s="5" t="s">
        <v>52</v>
      </c>
      <c r="K51" s="5" t="s">
        <v>73</v>
      </c>
      <c r="L51" s="5" t="s">
        <v>687</v>
      </c>
      <c r="M51" s="19" t="s">
        <v>763</v>
      </c>
      <c r="N51" s="88"/>
    </row>
    <row r="52" spans="1:14" s="16" customFormat="1" ht="13.8" x14ac:dyDescent="0.3">
      <c r="A52" s="19">
        <v>53</v>
      </c>
      <c r="B52" s="86">
        <v>46176</v>
      </c>
      <c r="C52" s="64" t="s">
        <v>175</v>
      </c>
      <c r="D52" s="6" t="s">
        <v>89</v>
      </c>
      <c r="E52" s="87" t="s">
        <v>4</v>
      </c>
      <c r="F52" s="5" t="s">
        <v>21</v>
      </c>
      <c r="G52" s="5"/>
      <c r="H52" s="5" t="s">
        <v>2</v>
      </c>
      <c r="I52" s="5" t="s">
        <v>20</v>
      </c>
      <c r="J52" s="5" t="s">
        <v>52</v>
      </c>
      <c r="K52" s="5" t="s">
        <v>73</v>
      </c>
      <c r="L52" s="5" t="s">
        <v>687</v>
      </c>
      <c r="M52" s="19" t="s">
        <v>763</v>
      </c>
      <c r="N52" s="88"/>
    </row>
    <row r="53" spans="1:14" s="16" customFormat="1" ht="13.8" x14ac:dyDescent="0.3">
      <c r="A53" s="19">
        <v>54</v>
      </c>
      <c r="B53" s="86">
        <v>46176</v>
      </c>
      <c r="C53" s="64" t="s">
        <v>176</v>
      </c>
      <c r="D53" s="6" t="s">
        <v>90</v>
      </c>
      <c r="E53" s="87" t="s">
        <v>4</v>
      </c>
      <c r="F53" s="5" t="s">
        <v>22</v>
      </c>
      <c r="G53" s="5"/>
      <c r="H53" s="5" t="s">
        <v>2</v>
      </c>
      <c r="I53" s="5" t="s">
        <v>729</v>
      </c>
      <c r="J53" s="5" t="s">
        <v>52</v>
      </c>
      <c r="K53" s="5" t="s">
        <v>80</v>
      </c>
      <c r="L53" s="5" t="s">
        <v>687</v>
      </c>
      <c r="M53" s="19" t="s">
        <v>763</v>
      </c>
      <c r="N53" s="88"/>
    </row>
    <row r="54" spans="1:14" s="16" customFormat="1" ht="13.8" x14ac:dyDescent="0.3">
      <c r="A54" s="19">
        <v>55</v>
      </c>
      <c r="B54" s="86">
        <v>46176</v>
      </c>
      <c r="C54" s="64" t="s">
        <v>177</v>
      </c>
      <c r="D54" s="6" t="s">
        <v>90</v>
      </c>
      <c r="E54" s="87" t="s">
        <v>4</v>
      </c>
      <c r="F54" s="5" t="s">
        <v>23</v>
      </c>
      <c r="G54" s="5"/>
      <c r="H54" s="5" t="s">
        <v>2</v>
      </c>
      <c r="I54" s="5" t="s">
        <v>24</v>
      </c>
      <c r="J54" s="5" t="s">
        <v>52</v>
      </c>
      <c r="K54" s="5" t="s">
        <v>73</v>
      </c>
      <c r="L54" s="5" t="s">
        <v>687</v>
      </c>
      <c r="M54" s="19" t="s">
        <v>763</v>
      </c>
      <c r="N54" s="88"/>
    </row>
    <row r="55" spans="1:14" s="16" customFormat="1" ht="13.8" x14ac:dyDescent="0.3">
      <c r="A55" s="19">
        <v>56</v>
      </c>
      <c r="B55" s="86">
        <v>46176</v>
      </c>
      <c r="C55" s="64" t="s">
        <v>178</v>
      </c>
      <c r="D55" s="6" t="s">
        <v>91</v>
      </c>
      <c r="E55" s="87" t="s">
        <v>4</v>
      </c>
      <c r="F55" s="5" t="s">
        <v>25</v>
      </c>
      <c r="G55" s="5"/>
      <c r="H55" s="5" t="s">
        <v>2</v>
      </c>
      <c r="I55" s="5" t="s">
        <v>727</v>
      </c>
      <c r="J55" s="5" t="s">
        <v>52</v>
      </c>
      <c r="K55" s="5" t="s">
        <v>73</v>
      </c>
      <c r="L55" s="5" t="s">
        <v>687</v>
      </c>
      <c r="M55" s="19" t="s">
        <v>763</v>
      </c>
      <c r="N55" s="88"/>
    </row>
    <row r="56" spans="1:14" s="16" customFormat="1" ht="13.8" x14ac:dyDescent="0.3">
      <c r="A56" s="19">
        <v>57</v>
      </c>
      <c r="B56" s="86">
        <v>46176</v>
      </c>
      <c r="C56" s="64" t="s">
        <v>179</v>
      </c>
      <c r="D56" s="6" t="s">
        <v>91</v>
      </c>
      <c r="E56" s="87" t="s">
        <v>4</v>
      </c>
      <c r="F56" s="5" t="s">
        <v>26</v>
      </c>
      <c r="G56" s="5"/>
      <c r="H56" s="5" t="s">
        <v>2</v>
      </c>
      <c r="I56" s="5" t="s">
        <v>728</v>
      </c>
      <c r="J56" s="5" t="s">
        <v>52</v>
      </c>
      <c r="K56" s="5" t="s">
        <v>73</v>
      </c>
      <c r="L56" s="5" t="s">
        <v>687</v>
      </c>
      <c r="M56" s="19" t="s">
        <v>763</v>
      </c>
      <c r="N56" s="88"/>
    </row>
    <row r="60" spans="1:14" x14ac:dyDescent="0.3">
      <c r="B60" s="79" t="s">
        <v>703</v>
      </c>
    </row>
    <row r="61" spans="1:14" x14ac:dyDescent="0.3">
      <c r="B61" s="68" t="s">
        <v>765</v>
      </c>
    </row>
    <row r="62" spans="1:14" x14ac:dyDescent="0.3">
      <c r="B62" s="68" t="s">
        <v>766</v>
      </c>
    </row>
    <row r="64" spans="1:14" x14ac:dyDescent="0.3">
      <c r="B64" s="68" t="s">
        <v>767</v>
      </c>
    </row>
    <row r="65" spans="2:2" x14ac:dyDescent="0.3">
      <c r="B65" s="68" t="s">
        <v>768</v>
      </c>
    </row>
  </sheetData>
  <dataValidations count="1">
    <dataValidation type="list" allowBlank="1" showInputMessage="1" showErrorMessage="1" sqref="M4:M56" xr:uid="{4B7A2629-8147-4215-B921-FC87466A9F3B}">
      <formula1>$O$4:$O$8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2839-D967-42D0-93D6-30EA54FDC42B}">
  <dimension ref="A1:G11"/>
  <sheetViews>
    <sheetView workbookViewId="0">
      <selection activeCell="F8" sqref="F8"/>
    </sheetView>
  </sheetViews>
  <sheetFormatPr defaultRowHeight="14.4" x14ac:dyDescent="0.3"/>
  <cols>
    <col min="1" max="1" width="4.77734375" customWidth="1"/>
    <col min="2" max="2" width="6" customWidth="1"/>
    <col min="3" max="3" width="10" bestFit="1" customWidth="1"/>
    <col min="4" max="4" width="15" customWidth="1"/>
    <col min="5" max="5" width="10.77734375" customWidth="1"/>
    <col min="6" max="6" width="11.109375" customWidth="1"/>
    <col min="7" max="7" width="15.77734375" customWidth="1"/>
    <col min="8" max="8" width="10.6640625" bestFit="1" customWidth="1"/>
    <col min="9" max="9" width="6.88671875" bestFit="1" customWidth="1"/>
    <col min="10" max="10" width="7.6640625" customWidth="1"/>
    <col min="14" max="14" width="5.44140625" customWidth="1"/>
    <col min="15" max="15" width="6.88671875" customWidth="1"/>
    <col min="16" max="16" width="7.5546875" bestFit="1" customWidth="1"/>
    <col min="17" max="17" width="9.33203125" customWidth="1"/>
    <col min="18" max="18" width="10.6640625" customWidth="1"/>
    <col min="19" max="19" width="11.21875" customWidth="1"/>
    <col min="20" max="20" width="10.6640625" bestFit="1" customWidth="1"/>
    <col min="21" max="21" width="6.88671875" bestFit="1" customWidth="1"/>
    <col min="22" max="22" width="7.5546875" bestFit="1" customWidth="1"/>
    <col min="23" max="23" width="10.6640625" bestFit="1" customWidth="1"/>
    <col min="24" max="24" width="6.88671875" bestFit="1" customWidth="1"/>
    <col min="25" max="25" width="7.5546875" bestFit="1" customWidth="1"/>
    <col min="26" max="26" width="8.33203125" bestFit="1" customWidth="1"/>
  </cols>
  <sheetData>
    <row r="1" spans="1:7" ht="15.6" x14ac:dyDescent="0.3">
      <c r="A1" s="38" t="s">
        <v>1647</v>
      </c>
    </row>
    <row r="3" spans="1:7" s="18" customFormat="1" ht="28.8" x14ac:dyDescent="0.3">
      <c r="A3" s="235" t="s">
        <v>79</v>
      </c>
      <c r="B3" s="235" t="s">
        <v>626</v>
      </c>
      <c r="C3" s="221" t="s">
        <v>650</v>
      </c>
      <c r="D3" s="221" t="s">
        <v>654</v>
      </c>
      <c r="E3" s="235" t="s">
        <v>696</v>
      </c>
      <c r="F3" s="221" t="s">
        <v>653</v>
      </c>
      <c r="G3" s="221" t="s">
        <v>697</v>
      </c>
    </row>
    <row r="4" spans="1:7" x14ac:dyDescent="0.3">
      <c r="A4" s="53"/>
      <c r="B4" s="53"/>
      <c r="C4" s="53"/>
      <c r="D4" s="53"/>
      <c r="E4" s="53"/>
      <c r="F4" s="53"/>
      <c r="G4" s="53"/>
    </row>
    <row r="5" spans="1:7" x14ac:dyDescent="0.3">
      <c r="A5" s="53"/>
      <c r="B5" s="53"/>
      <c r="C5" s="53"/>
      <c r="D5" s="53"/>
      <c r="E5" s="53"/>
      <c r="F5" s="53"/>
      <c r="G5" s="53"/>
    </row>
    <row r="6" spans="1:7" x14ac:dyDescent="0.3">
      <c r="A6" s="53"/>
      <c r="B6" s="53"/>
      <c r="C6" s="53"/>
      <c r="D6" s="53"/>
      <c r="E6" s="53"/>
      <c r="F6" s="53"/>
      <c r="G6" s="53"/>
    </row>
    <row r="7" spans="1:7" x14ac:dyDescent="0.3">
      <c r="A7" s="53"/>
      <c r="B7" s="53"/>
      <c r="C7" s="53"/>
      <c r="D7" s="53"/>
      <c r="E7" s="53"/>
      <c r="F7" s="53"/>
      <c r="G7" s="53"/>
    </row>
    <row r="8" spans="1:7" x14ac:dyDescent="0.3">
      <c r="A8" s="53"/>
      <c r="B8" s="53"/>
      <c r="C8" s="53"/>
      <c r="D8" s="53"/>
      <c r="E8" s="53"/>
      <c r="F8" s="53"/>
      <c r="G8" s="53"/>
    </row>
    <row r="11" spans="1:7" x14ac:dyDescent="0.3">
      <c r="A11" s="51" t="s">
        <v>706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BAC4-72AC-4C62-9B50-BCB6F15E0F43}">
  <dimension ref="A1:J1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14" sqref="O14"/>
    </sheetView>
  </sheetViews>
  <sheetFormatPr defaultRowHeight="14.4" x14ac:dyDescent="0.3"/>
  <cols>
    <col min="1" max="1" width="9.6640625" customWidth="1"/>
    <col min="2" max="2" width="7.88671875" customWidth="1"/>
    <col min="3" max="4" width="8.6640625" bestFit="1" customWidth="1"/>
    <col min="5" max="5" width="12.77734375" customWidth="1"/>
    <col min="6" max="6" width="7.44140625" bestFit="1" customWidth="1"/>
    <col min="7" max="7" width="6.44140625" customWidth="1"/>
    <col min="8" max="8" width="9.5546875" bestFit="1" customWidth="1"/>
    <col min="9" max="10" width="11.6640625" bestFit="1" customWidth="1"/>
  </cols>
  <sheetData>
    <row r="1" spans="1:10" ht="15.6" x14ac:dyDescent="0.3">
      <c r="A1" s="33" t="s">
        <v>1648</v>
      </c>
      <c r="B1" s="33"/>
    </row>
    <row r="3" spans="1:10" s="46" customFormat="1" ht="27.6" x14ac:dyDescent="0.3">
      <c r="A3" s="239" t="s">
        <v>632</v>
      </c>
      <c r="B3" s="239" t="s">
        <v>629</v>
      </c>
      <c r="C3" s="239" t="s">
        <v>657</v>
      </c>
      <c r="D3" s="239" t="s">
        <v>658</v>
      </c>
      <c r="E3" s="239" t="s">
        <v>656</v>
      </c>
      <c r="F3" s="239" t="s">
        <v>659</v>
      </c>
      <c r="G3" s="239" t="s">
        <v>1657</v>
      </c>
      <c r="H3" s="239" t="s">
        <v>661</v>
      </c>
      <c r="I3" s="239" t="s">
        <v>660</v>
      </c>
      <c r="J3" s="239" t="s">
        <v>1658</v>
      </c>
    </row>
    <row r="4" spans="1:10" x14ac:dyDescent="0.3">
      <c r="A4" s="216"/>
      <c r="B4" s="216"/>
      <c r="C4" s="216"/>
      <c r="D4" s="216"/>
      <c r="E4" s="216"/>
      <c r="F4" s="216"/>
      <c r="G4" s="216"/>
      <c r="H4" s="216"/>
      <c r="I4" s="216"/>
      <c r="J4" s="216"/>
    </row>
    <row r="5" spans="1:10" x14ac:dyDescent="0.3">
      <c r="A5" s="206"/>
      <c r="B5" s="206"/>
      <c r="C5" s="206"/>
      <c r="D5" s="206"/>
      <c r="E5" s="206"/>
      <c r="F5" s="206"/>
      <c r="G5" s="206"/>
      <c r="H5" s="206"/>
      <c r="I5" s="206"/>
      <c r="J5" s="206"/>
    </row>
    <row r="6" spans="1:10" x14ac:dyDescent="0.3">
      <c r="A6" s="216"/>
      <c r="B6" s="216"/>
      <c r="C6" s="216"/>
      <c r="D6" s="216"/>
      <c r="E6" s="216"/>
      <c r="F6" s="216"/>
      <c r="G6" s="216"/>
      <c r="H6" s="216"/>
      <c r="I6" s="216"/>
      <c r="J6" s="216"/>
    </row>
    <row r="7" spans="1:10" x14ac:dyDescent="0.3">
      <c r="A7" s="206"/>
      <c r="B7" s="206"/>
      <c r="C7" s="206"/>
      <c r="D7" s="206"/>
      <c r="E7" s="206"/>
      <c r="F7" s="206"/>
      <c r="G7" s="206"/>
      <c r="H7" s="206"/>
      <c r="I7" s="206"/>
      <c r="J7" s="206"/>
    </row>
    <row r="8" spans="1:10" x14ac:dyDescent="0.3">
      <c r="A8" s="216"/>
      <c r="B8" s="216"/>
      <c r="C8" s="216"/>
      <c r="D8" s="216"/>
      <c r="E8" s="216"/>
      <c r="F8" s="216"/>
      <c r="G8" s="216"/>
      <c r="H8" s="216"/>
      <c r="I8" s="216"/>
      <c r="J8" s="216"/>
    </row>
    <row r="9" spans="1:10" x14ac:dyDescent="0.3">
      <c r="A9" s="206"/>
      <c r="B9" s="206"/>
      <c r="C9" s="206"/>
      <c r="D9" s="206"/>
      <c r="E9" s="206"/>
      <c r="F9" s="206"/>
      <c r="G9" s="206"/>
      <c r="H9" s="206"/>
      <c r="I9" s="206"/>
      <c r="J9" s="206"/>
    </row>
    <row r="10" spans="1:10" x14ac:dyDescent="0.3">
      <c r="A10" s="216"/>
      <c r="B10" s="216"/>
      <c r="C10" s="216"/>
      <c r="D10" s="216"/>
      <c r="E10" s="216"/>
      <c r="F10" s="216"/>
      <c r="G10" s="216"/>
      <c r="H10" s="216"/>
      <c r="I10" s="216"/>
      <c r="J10" s="216"/>
    </row>
    <row r="11" spans="1:10" x14ac:dyDescent="0.3">
      <c r="A11" s="206"/>
      <c r="B11" s="206"/>
      <c r="C11" s="206"/>
      <c r="D11" s="206"/>
      <c r="E11" s="206"/>
      <c r="F11" s="206"/>
      <c r="G11" s="206"/>
      <c r="H11" s="206"/>
      <c r="I11" s="206"/>
      <c r="J11" s="206"/>
    </row>
    <row r="12" spans="1:10" x14ac:dyDescent="0.3">
      <c r="A12" s="216"/>
      <c r="B12" s="216"/>
      <c r="C12" s="216"/>
      <c r="D12" s="216"/>
      <c r="E12" s="216"/>
      <c r="F12" s="216"/>
      <c r="G12" s="216"/>
      <c r="H12" s="216"/>
      <c r="I12" s="216"/>
      <c r="J12" s="216"/>
    </row>
    <row r="13" spans="1:10" x14ac:dyDescent="0.3">
      <c r="A13" s="206"/>
      <c r="B13" s="206"/>
      <c r="C13" s="206"/>
      <c r="D13" s="206"/>
      <c r="E13" s="206"/>
      <c r="F13" s="206"/>
      <c r="G13" s="206"/>
      <c r="H13" s="206"/>
      <c r="I13" s="206"/>
      <c r="J13" s="206"/>
    </row>
    <row r="14" spans="1:10" x14ac:dyDescent="0.3">
      <c r="A14" s="216"/>
      <c r="B14" s="216"/>
      <c r="C14" s="216"/>
      <c r="D14" s="216"/>
      <c r="E14" s="216"/>
      <c r="F14" s="216"/>
      <c r="G14" s="216"/>
      <c r="H14" s="216"/>
      <c r="I14" s="216"/>
      <c r="J14" s="216"/>
    </row>
    <row r="15" spans="1:10" s="46" customFormat="1" x14ac:dyDescent="0.3">
      <c r="A15" s="206"/>
      <c r="B15" s="206"/>
      <c r="C15" s="206"/>
      <c r="D15" s="206"/>
      <c r="E15" s="206"/>
      <c r="F15" s="206"/>
      <c r="G15" s="206"/>
      <c r="H15" s="206"/>
      <c r="I15" s="206"/>
      <c r="J15" s="206"/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C29A-8D2B-4FE1-AA73-DD311EDE5D8E}">
  <dimension ref="A1:H9"/>
  <sheetViews>
    <sheetView workbookViewId="0">
      <selection activeCell="A3" sqref="A3:G4"/>
    </sheetView>
  </sheetViews>
  <sheetFormatPr defaultRowHeight="14.4" x14ac:dyDescent="0.3"/>
  <cols>
    <col min="3" max="3" width="11.5546875" customWidth="1"/>
    <col min="4" max="4" width="12.109375" customWidth="1"/>
    <col min="5" max="5" width="14.88671875" customWidth="1"/>
  </cols>
  <sheetData>
    <row r="1" spans="1:8" s="33" customFormat="1" ht="15.6" x14ac:dyDescent="0.3">
      <c r="A1" s="33" t="s">
        <v>1574</v>
      </c>
    </row>
    <row r="3" spans="1:8" s="18" customFormat="1" ht="28.8" x14ac:dyDescent="0.3">
      <c r="A3" s="235" t="s">
        <v>626</v>
      </c>
      <c r="B3" s="235" t="s">
        <v>1576</v>
      </c>
      <c r="C3" s="221" t="s">
        <v>650</v>
      </c>
      <c r="D3" s="235" t="s">
        <v>696</v>
      </c>
      <c r="E3" s="221" t="s">
        <v>654</v>
      </c>
      <c r="F3" s="221" t="s">
        <v>653</v>
      </c>
      <c r="G3" s="235" t="s">
        <v>627</v>
      </c>
      <c r="H3"/>
    </row>
    <row r="4" spans="1:8" x14ac:dyDescent="0.3">
      <c r="A4" s="240"/>
      <c r="B4" s="240"/>
      <c r="C4" s="240"/>
      <c r="D4" s="240"/>
      <c r="E4" s="240"/>
      <c r="F4" s="240"/>
      <c r="G4" s="240"/>
    </row>
    <row r="5" spans="1:8" x14ac:dyDescent="0.3">
      <c r="A5" s="241"/>
      <c r="B5" s="241"/>
      <c r="C5" s="241"/>
      <c r="D5" s="241"/>
      <c r="E5" s="241"/>
      <c r="F5" s="241"/>
      <c r="G5" s="241"/>
    </row>
    <row r="6" spans="1:8" x14ac:dyDescent="0.3">
      <c r="A6" s="241"/>
      <c r="B6" s="241"/>
      <c r="C6" s="241"/>
      <c r="D6" s="241"/>
      <c r="E6" s="241"/>
      <c r="F6" s="241"/>
      <c r="G6" s="241"/>
    </row>
    <row r="7" spans="1:8" x14ac:dyDescent="0.3">
      <c r="A7" s="241"/>
      <c r="B7" s="241"/>
      <c r="C7" s="241"/>
      <c r="D7" s="241"/>
      <c r="E7" s="241"/>
      <c r="F7" s="241"/>
      <c r="G7" s="241"/>
    </row>
    <row r="8" spans="1:8" x14ac:dyDescent="0.3">
      <c r="A8" s="241"/>
      <c r="B8" s="241"/>
      <c r="C8" s="241"/>
      <c r="D8" s="241"/>
      <c r="E8" s="241"/>
      <c r="F8" s="241"/>
      <c r="G8" s="241"/>
    </row>
    <row r="9" spans="1:8" x14ac:dyDescent="0.3">
      <c r="A9" s="241"/>
      <c r="B9" s="241"/>
      <c r="C9" s="241"/>
      <c r="D9" s="241"/>
      <c r="E9" s="241"/>
      <c r="F9" s="241"/>
      <c r="G9" s="241"/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01A2-9CF7-4450-BC06-FCDB7D55019F}">
  <dimension ref="A1:S23"/>
  <sheetViews>
    <sheetView workbookViewId="0">
      <selection activeCell="J11" sqref="J11"/>
    </sheetView>
  </sheetViews>
  <sheetFormatPr defaultRowHeight="14.4" x14ac:dyDescent="0.3"/>
  <cols>
    <col min="1" max="1" width="5.44140625" customWidth="1"/>
    <col min="2" max="2" width="6.88671875" customWidth="1"/>
    <col min="3" max="3" width="7.5546875" bestFit="1" customWidth="1"/>
    <col min="4" max="4" width="9.33203125" customWidth="1"/>
    <col min="5" max="5" width="10.6640625" customWidth="1"/>
    <col min="6" max="6" width="11.21875" customWidth="1"/>
    <col min="7" max="7" width="10.6640625" bestFit="1" customWidth="1"/>
    <col min="8" max="8" width="6.88671875" bestFit="1" customWidth="1"/>
    <col min="9" max="9" width="7.5546875" bestFit="1" customWidth="1"/>
    <col min="10" max="10" width="10.6640625" bestFit="1" customWidth="1"/>
    <col min="11" max="11" width="6.88671875" bestFit="1" customWidth="1"/>
    <col min="12" max="12" width="7.5546875" bestFit="1" customWidth="1"/>
    <col min="13" max="13" width="9" customWidth="1"/>
    <col min="14" max="14" width="7.5546875" bestFit="1" customWidth="1"/>
    <col min="16" max="16" width="15.88671875" bestFit="1" customWidth="1"/>
    <col min="18" max="18" width="13.5546875" style="10" bestFit="1" customWidth="1"/>
    <col min="19" max="19" width="19.88671875" bestFit="1" customWidth="1"/>
  </cols>
  <sheetData>
    <row r="1" spans="1:19" s="33" customFormat="1" ht="15.6" x14ac:dyDescent="0.3">
      <c r="A1" s="33" t="s">
        <v>1573</v>
      </c>
      <c r="R1" s="63"/>
    </row>
    <row r="2" spans="1:19" x14ac:dyDescent="0.3">
      <c r="A2" s="17"/>
      <c r="P2" s="17" t="s">
        <v>681</v>
      </c>
    </row>
    <row r="3" spans="1:19" ht="14.4" customHeight="1" x14ac:dyDescent="0.3">
      <c r="A3" s="283" t="s">
        <v>79</v>
      </c>
      <c r="B3" s="283" t="s">
        <v>626</v>
      </c>
      <c r="C3" s="283" t="s">
        <v>694</v>
      </c>
      <c r="D3" s="283" t="s">
        <v>655</v>
      </c>
      <c r="E3" s="283" t="s">
        <v>775</v>
      </c>
      <c r="F3" s="283" t="s">
        <v>650</v>
      </c>
      <c r="G3" s="283" t="s">
        <v>651</v>
      </c>
      <c r="H3" s="283"/>
      <c r="I3" s="283"/>
      <c r="J3" s="283" t="s">
        <v>695</v>
      </c>
      <c r="K3" s="283"/>
      <c r="L3" s="283"/>
      <c r="M3" s="283" t="s">
        <v>627</v>
      </c>
      <c r="N3" s="283" t="s">
        <v>1575</v>
      </c>
      <c r="P3" s="288" t="s">
        <v>1575</v>
      </c>
      <c r="Q3" s="18"/>
      <c r="R3" s="287" t="s">
        <v>1580</v>
      </c>
      <c r="S3" s="287"/>
    </row>
    <row r="4" spans="1:19" x14ac:dyDescent="0.3">
      <c r="A4" s="283"/>
      <c r="B4" s="283"/>
      <c r="C4" s="283"/>
      <c r="D4" s="283"/>
      <c r="E4" s="283"/>
      <c r="F4" s="283"/>
      <c r="G4" s="192" t="s">
        <v>678</v>
      </c>
      <c r="H4" s="192" t="s">
        <v>679</v>
      </c>
      <c r="I4" s="192" t="s">
        <v>680</v>
      </c>
      <c r="J4" s="192" t="s">
        <v>678</v>
      </c>
      <c r="K4" s="192" t="s">
        <v>679</v>
      </c>
      <c r="L4" s="192" t="s">
        <v>680</v>
      </c>
      <c r="M4" s="283"/>
      <c r="N4" s="283"/>
      <c r="P4" s="288"/>
      <c r="R4" s="287"/>
      <c r="S4" s="287"/>
    </row>
    <row r="5" spans="1:19" x14ac:dyDescent="0.3">
      <c r="A5" s="216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P5" s="53" t="s">
        <v>1579</v>
      </c>
      <c r="R5" s="62" t="s">
        <v>1583</v>
      </c>
      <c r="S5" s="62" t="s">
        <v>1581</v>
      </c>
    </row>
    <row r="6" spans="1:19" x14ac:dyDescent="0.3">
      <c r="A6" s="206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P6" s="53" t="s">
        <v>1578</v>
      </c>
      <c r="R6" s="57" t="s">
        <v>775</v>
      </c>
      <c r="S6" s="62" t="s">
        <v>1582</v>
      </c>
    </row>
    <row r="7" spans="1:19" x14ac:dyDescent="0.3">
      <c r="A7" s="216"/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</row>
    <row r="8" spans="1:19" x14ac:dyDescent="0.3">
      <c r="A8" s="206"/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</row>
    <row r="9" spans="1:19" x14ac:dyDescent="0.3">
      <c r="A9" s="216"/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</row>
    <row r="10" spans="1:19" x14ac:dyDescent="0.3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</row>
    <row r="11" spans="1:19" x14ac:dyDescent="0.3">
      <c r="A11" s="216"/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</row>
    <row r="12" spans="1:19" x14ac:dyDescent="0.3">
      <c r="A12" s="206"/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</row>
    <row r="13" spans="1:19" x14ac:dyDescent="0.3">
      <c r="A13" s="216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</row>
    <row r="14" spans="1:19" x14ac:dyDescent="0.3">
      <c r="A14" s="206"/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</row>
    <row r="15" spans="1:19" x14ac:dyDescent="0.3">
      <c r="A15" s="216"/>
      <c r="B15" s="216"/>
      <c r="C15" s="216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</row>
    <row r="16" spans="1:19" x14ac:dyDescent="0.3">
      <c r="A16" s="206"/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</row>
    <row r="18" spans="1:19" x14ac:dyDescent="0.3">
      <c r="A18" s="51" t="s">
        <v>1577</v>
      </c>
    </row>
    <row r="23" spans="1:19" s="18" customFormat="1" x14ac:dyDescent="0.3">
      <c r="P23"/>
      <c r="Q23"/>
      <c r="R23" s="10"/>
      <c r="S23"/>
    </row>
  </sheetData>
  <mergeCells count="12">
    <mergeCell ref="R3:S4"/>
    <mergeCell ref="P3:P4"/>
    <mergeCell ref="M3:M4"/>
    <mergeCell ref="N3:N4"/>
    <mergeCell ref="A3:A4"/>
    <mergeCell ref="E3:E4"/>
    <mergeCell ref="C3:C4"/>
    <mergeCell ref="F3:F4"/>
    <mergeCell ref="D3:D4"/>
    <mergeCell ref="B3:B4"/>
    <mergeCell ref="G3:I3"/>
    <mergeCell ref="J3:L3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CA6E-091C-406C-A3F5-AC53D878E78D}">
  <dimension ref="A1:M25"/>
  <sheetViews>
    <sheetView workbookViewId="0">
      <selection activeCell="I15" sqref="I15"/>
    </sheetView>
  </sheetViews>
  <sheetFormatPr defaultRowHeight="14.4" x14ac:dyDescent="0.3"/>
  <cols>
    <col min="1" max="1" width="6.33203125" customWidth="1"/>
    <col min="2" max="2" width="14.88671875" bestFit="1" customWidth="1"/>
    <col min="4" max="4" width="15.77734375" bestFit="1" customWidth="1"/>
    <col min="5" max="5" width="31.5546875" bestFit="1" customWidth="1"/>
    <col min="6" max="6" width="16.77734375" bestFit="1" customWidth="1"/>
    <col min="7" max="7" width="15.88671875" bestFit="1" customWidth="1"/>
    <col min="8" max="8" width="25.21875" bestFit="1" customWidth="1"/>
    <col min="9" max="9" width="15.88671875" bestFit="1" customWidth="1"/>
    <col min="11" max="11" width="16.77734375" bestFit="1" customWidth="1"/>
    <col min="12" max="12" width="26.33203125" bestFit="1" customWidth="1"/>
  </cols>
  <sheetData>
    <row r="1" spans="1:13" s="33" customFormat="1" ht="15.6" x14ac:dyDescent="0.3">
      <c r="A1" s="38" t="s">
        <v>1571</v>
      </c>
      <c r="B1" s="38"/>
    </row>
    <row r="2" spans="1:13" x14ac:dyDescent="0.3">
      <c r="K2" s="17" t="s">
        <v>681</v>
      </c>
    </row>
    <row r="3" spans="1:13" ht="14.4" customHeight="1" x14ac:dyDescent="0.3">
      <c r="A3" s="245" t="s">
        <v>79</v>
      </c>
      <c r="B3" s="245" t="s">
        <v>626</v>
      </c>
      <c r="C3" s="245" t="s">
        <v>629</v>
      </c>
      <c r="D3" s="245" t="s">
        <v>99</v>
      </c>
      <c r="E3" s="245" t="s">
        <v>632</v>
      </c>
      <c r="F3" s="245" t="s">
        <v>650</v>
      </c>
      <c r="G3" s="245" t="s">
        <v>651</v>
      </c>
      <c r="H3" s="245"/>
      <c r="I3" s="245"/>
      <c r="K3" s="242" t="s">
        <v>650</v>
      </c>
      <c r="L3" s="242" t="s">
        <v>654</v>
      </c>
      <c r="M3" s="17"/>
    </row>
    <row r="4" spans="1:13" s="32" customFormat="1" x14ac:dyDescent="0.3">
      <c r="A4" s="285"/>
      <c r="B4" s="285"/>
      <c r="C4" s="285"/>
      <c r="D4" s="285"/>
      <c r="E4" s="285"/>
      <c r="F4" s="285"/>
      <c r="G4" s="222" t="s">
        <v>678</v>
      </c>
      <c r="H4" s="222" t="s">
        <v>679</v>
      </c>
      <c r="I4" s="222" t="s">
        <v>680</v>
      </c>
      <c r="K4" s="242"/>
      <c r="L4" s="242"/>
    </row>
    <row r="5" spans="1:13" s="7" customFormat="1" x14ac:dyDescent="0.3">
      <c r="A5" s="13">
        <v>1</v>
      </c>
      <c r="B5" s="236">
        <v>46174</v>
      </c>
      <c r="C5" s="70" t="s">
        <v>160</v>
      </c>
      <c r="D5" s="13" t="s">
        <v>82</v>
      </c>
      <c r="E5" s="12" t="s">
        <v>5</v>
      </c>
      <c r="F5" t="s">
        <v>690</v>
      </c>
      <c r="G5" t="s">
        <v>640</v>
      </c>
      <c r="H5" t="s">
        <v>643</v>
      </c>
      <c r="I5" t="s">
        <v>640</v>
      </c>
      <c r="K5" t="s">
        <v>690</v>
      </c>
      <c r="L5" t="s">
        <v>622</v>
      </c>
    </row>
    <row r="6" spans="1:13" s="7" customFormat="1" x14ac:dyDescent="0.3">
      <c r="A6" s="208">
        <v>2</v>
      </c>
      <c r="B6" s="237">
        <v>46174</v>
      </c>
      <c r="C6" s="207" t="s">
        <v>161</v>
      </c>
      <c r="D6" s="208" t="s">
        <v>82</v>
      </c>
      <c r="E6" s="209" t="s">
        <v>6</v>
      </c>
      <c r="F6" s="206" t="s">
        <v>690</v>
      </c>
      <c r="G6" s="206" t="s">
        <v>640</v>
      </c>
      <c r="H6" s="206" t="s">
        <v>643</v>
      </c>
      <c r="I6" s="206" t="s">
        <v>640</v>
      </c>
      <c r="K6" t="s">
        <v>691</v>
      </c>
      <c r="L6" t="s">
        <v>769</v>
      </c>
    </row>
    <row r="7" spans="1:13" s="7" customFormat="1" x14ac:dyDescent="0.3">
      <c r="A7" s="13">
        <v>3</v>
      </c>
      <c r="B7" s="236">
        <v>46174</v>
      </c>
      <c r="C7" s="70" t="s">
        <v>162</v>
      </c>
      <c r="D7" s="13" t="s">
        <v>83</v>
      </c>
      <c r="E7" s="12" t="s">
        <v>7</v>
      </c>
      <c r="F7" t="s">
        <v>690</v>
      </c>
      <c r="G7" t="s">
        <v>769</v>
      </c>
      <c r="H7" t="s">
        <v>769</v>
      </c>
      <c r="I7" t="s">
        <v>769</v>
      </c>
      <c r="K7" t="s">
        <v>692</v>
      </c>
      <c r="L7" t="s">
        <v>621</v>
      </c>
    </row>
    <row r="8" spans="1:13" s="7" customFormat="1" x14ac:dyDescent="0.3">
      <c r="A8" s="208">
        <v>4</v>
      </c>
      <c r="B8" s="237">
        <v>46174</v>
      </c>
      <c r="C8" s="207" t="s">
        <v>164</v>
      </c>
      <c r="D8" s="208" t="s">
        <v>84</v>
      </c>
      <c r="E8" s="209" t="s">
        <v>8</v>
      </c>
      <c r="F8" s="206" t="s">
        <v>690</v>
      </c>
      <c r="G8" s="206" t="s">
        <v>640</v>
      </c>
      <c r="H8" s="206" t="s">
        <v>640</v>
      </c>
      <c r="I8" s="206" t="s">
        <v>640</v>
      </c>
      <c r="K8"/>
      <c r="L8" t="s">
        <v>644</v>
      </c>
    </row>
    <row r="9" spans="1:13" s="7" customFormat="1" x14ac:dyDescent="0.3">
      <c r="A9" s="13">
        <v>5</v>
      </c>
      <c r="B9" s="236">
        <v>46174</v>
      </c>
      <c r="C9" s="70" t="s">
        <v>165</v>
      </c>
      <c r="D9" s="13" t="s">
        <v>84</v>
      </c>
      <c r="E9" s="12" t="s">
        <v>10</v>
      </c>
      <c r="F9" t="s">
        <v>690</v>
      </c>
      <c r="G9" t="s">
        <v>640</v>
      </c>
      <c r="H9" t="s">
        <v>640</v>
      </c>
      <c r="I9" t="s">
        <v>640</v>
      </c>
      <c r="K9"/>
      <c r="L9" t="s">
        <v>642</v>
      </c>
    </row>
    <row r="10" spans="1:13" s="7" customFormat="1" x14ac:dyDescent="0.3">
      <c r="A10" s="208">
        <v>6</v>
      </c>
      <c r="B10" s="237">
        <v>46174</v>
      </c>
      <c r="C10" s="207" t="s">
        <v>166</v>
      </c>
      <c r="D10" s="208" t="s">
        <v>85</v>
      </c>
      <c r="E10" s="209" t="s">
        <v>11</v>
      </c>
      <c r="F10" s="206" t="s">
        <v>691</v>
      </c>
      <c r="G10" s="206" t="s">
        <v>652</v>
      </c>
      <c r="H10" s="206" t="s">
        <v>643</v>
      </c>
      <c r="I10" s="206" t="s">
        <v>652</v>
      </c>
      <c r="K10"/>
      <c r="L10" t="s">
        <v>645</v>
      </c>
    </row>
    <row r="11" spans="1:13" s="7" customFormat="1" x14ac:dyDescent="0.3">
      <c r="A11" s="13">
        <v>7</v>
      </c>
      <c r="B11" s="236">
        <v>46174</v>
      </c>
      <c r="C11" s="70" t="s">
        <v>167</v>
      </c>
      <c r="D11" s="13" t="s">
        <v>85</v>
      </c>
      <c r="E11" s="12" t="s">
        <v>12</v>
      </c>
      <c r="F11" t="s">
        <v>691</v>
      </c>
      <c r="G11" t="s">
        <v>652</v>
      </c>
      <c r="H11" t="s">
        <v>643</v>
      </c>
      <c r="I11" t="s">
        <v>652</v>
      </c>
      <c r="K11"/>
      <c r="L11" t="s">
        <v>643</v>
      </c>
    </row>
    <row r="12" spans="1:13" s="7" customFormat="1" x14ac:dyDescent="0.3">
      <c r="A12" s="208">
        <v>8</v>
      </c>
      <c r="B12" s="237">
        <v>46174</v>
      </c>
      <c r="C12" s="207" t="s">
        <v>168</v>
      </c>
      <c r="D12" s="208" t="s">
        <v>86</v>
      </c>
      <c r="E12" s="209" t="s">
        <v>13</v>
      </c>
      <c r="F12" s="206" t="s">
        <v>690</v>
      </c>
      <c r="G12" s="206" t="s">
        <v>640</v>
      </c>
      <c r="H12" s="206" t="s">
        <v>643</v>
      </c>
      <c r="I12" s="206" t="s">
        <v>640</v>
      </c>
      <c r="K12"/>
      <c r="L12" t="s">
        <v>623</v>
      </c>
    </row>
    <row r="13" spans="1:13" s="7" customFormat="1" x14ac:dyDescent="0.3">
      <c r="A13" s="13">
        <v>9</v>
      </c>
      <c r="B13" s="236">
        <v>46174</v>
      </c>
      <c r="C13" s="70" t="s">
        <v>169</v>
      </c>
      <c r="D13" s="13" t="s">
        <v>86</v>
      </c>
      <c r="E13" s="12" t="s">
        <v>14</v>
      </c>
      <c r="F13" t="s">
        <v>690</v>
      </c>
      <c r="G13" t="s">
        <v>640</v>
      </c>
      <c r="H13" t="s">
        <v>643</v>
      </c>
      <c r="I13" t="s">
        <v>640</v>
      </c>
      <c r="K13"/>
      <c r="L13" t="s">
        <v>640</v>
      </c>
    </row>
    <row r="14" spans="1:13" s="7" customFormat="1" x14ac:dyDescent="0.3">
      <c r="A14" s="208">
        <v>10</v>
      </c>
      <c r="B14" s="237">
        <v>46174</v>
      </c>
      <c r="C14" s="207" t="s">
        <v>170</v>
      </c>
      <c r="D14" s="208" t="s">
        <v>87</v>
      </c>
      <c r="E14" s="209" t="s">
        <v>15</v>
      </c>
      <c r="F14" s="206" t="s">
        <v>690</v>
      </c>
      <c r="G14" s="206" t="s">
        <v>640</v>
      </c>
      <c r="H14" s="206" t="s">
        <v>643</v>
      </c>
      <c r="I14" s="206" t="s">
        <v>640</v>
      </c>
      <c r="K14"/>
      <c r="L14" t="s">
        <v>652</v>
      </c>
    </row>
    <row r="15" spans="1:13" s="7" customFormat="1" x14ac:dyDescent="0.3">
      <c r="A15" s="13">
        <v>11</v>
      </c>
      <c r="B15" s="236">
        <v>46174</v>
      </c>
      <c r="C15" s="70" t="s">
        <v>171</v>
      </c>
      <c r="D15" s="13" t="s">
        <v>87</v>
      </c>
      <c r="E15" s="12" t="s">
        <v>16</v>
      </c>
      <c r="F15" t="s">
        <v>690</v>
      </c>
      <c r="G15" t="s">
        <v>640</v>
      </c>
      <c r="H15" t="s">
        <v>643</v>
      </c>
      <c r="I15" t="s">
        <v>640</v>
      </c>
      <c r="K15"/>
      <c r="L15" t="s">
        <v>639</v>
      </c>
    </row>
    <row r="16" spans="1:13" s="7" customFormat="1" x14ac:dyDescent="0.3">
      <c r="A16" s="208">
        <v>12</v>
      </c>
      <c r="B16" s="237">
        <v>46174</v>
      </c>
      <c r="C16" s="207" t="s">
        <v>172</v>
      </c>
      <c r="D16" s="208" t="s">
        <v>88</v>
      </c>
      <c r="E16" s="209" t="s">
        <v>17</v>
      </c>
      <c r="F16" s="206" t="s">
        <v>690</v>
      </c>
      <c r="G16" s="206" t="s">
        <v>640</v>
      </c>
      <c r="H16" s="206" t="s">
        <v>643</v>
      </c>
      <c r="I16" s="206" t="s">
        <v>640</v>
      </c>
      <c r="K16"/>
      <c r="L16" t="s">
        <v>638</v>
      </c>
    </row>
    <row r="17" spans="1:12" s="7" customFormat="1" x14ac:dyDescent="0.3">
      <c r="A17" s="13">
        <v>13</v>
      </c>
      <c r="B17" s="236">
        <v>46174</v>
      </c>
      <c r="C17" s="70" t="s">
        <v>173</v>
      </c>
      <c r="D17" s="13" t="s">
        <v>88</v>
      </c>
      <c r="E17" s="12" t="s">
        <v>18</v>
      </c>
      <c r="F17" t="s">
        <v>690</v>
      </c>
      <c r="G17" t="s">
        <v>640</v>
      </c>
      <c r="H17" t="s">
        <v>643</v>
      </c>
      <c r="I17" t="s">
        <v>640</v>
      </c>
      <c r="K17"/>
      <c r="L17" t="s">
        <v>641</v>
      </c>
    </row>
    <row r="18" spans="1:12" s="7" customFormat="1" x14ac:dyDescent="0.3">
      <c r="A18" s="208">
        <v>14</v>
      </c>
      <c r="B18" s="237">
        <v>46174</v>
      </c>
      <c r="C18" s="207" t="s">
        <v>174</v>
      </c>
      <c r="D18" s="208" t="s">
        <v>89</v>
      </c>
      <c r="E18" s="209" t="s">
        <v>19</v>
      </c>
      <c r="F18" s="206" t="s">
        <v>690</v>
      </c>
      <c r="G18" s="206" t="s">
        <v>640</v>
      </c>
      <c r="H18" s="206" t="s">
        <v>643</v>
      </c>
      <c r="I18" s="206" t="s">
        <v>640</v>
      </c>
      <c r="K18"/>
      <c r="L18"/>
    </row>
    <row r="19" spans="1:12" s="7" customFormat="1" x14ac:dyDescent="0.3">
      <c r="A19" s="13">
        <v>15</v>
      </c>
      <c r="B19" s="236">
        <v>46174</v>
      </c>
      <c r="C19" s="70" t="s">
        <v>175</v>
      </c>
      <c r="D19" s="13" t="s">
        <v>89</v>
      </c>
      <c r="E19" s="12" t="s">
        <v>21</v>
      </c>
      <c r="F19" t="s">
        <v>690</v>
      </c>
      <c r="G19" t="s">
        <v>640</v>
      </c>
      <c r="H19" t="s">
        <v>643</v>
      </c>
      <c r="I19" t="s">
        <v>640</v>
      </c>
      <c r="K19"/>
      <c r="L19"/>
    </row>
    <row r="20" spans="1:12" s="7" customFormat="1" x14ac:dyDescent="0.3">
      <c r="A20" s="208">
        <v>16</v>
      </c>
      <c r="B20" s="237">
        <v>46174</v>
      </c>
      <c r="C20" s="207" t="s">
        <v>176</v>
      </c>
      <c r="D20" s="208" t="s">
        <v>90</v>
      </c>
      <c r="E20" s="209" t="s">
        <v>22</v>
      </c>
      <c r="F20" s="206" t="s">
        <v>690</v>
      </c>
      <c r="G20" s="206" t="s">
        <v>640</v>
      </c>
      <c r="H20" s="206" t="s">
        <v>643</v>
      </c>
      <c r="I20" s="206" t="s">
        <v>640</v>
      </c>
      <c r="K20"/>
      <c r="L20"/>
    </row>
    <row r="21" spans="1:12" s="7" customFormat="1" x14ac:dyDescent="0.3">
      <c r="A21" s="13">
        <v>17</v>
      </c>
      <c r="B21" s="236">
        <v>46174</v>
      </c>
      <c r="C21" s="70" t="s">
        <v>177</v>
      </c>
      <c r="D21" s="13" t="s">
        <v>90</v>
      </c>
      <c r="E21" s="12" t="s">
        <v>23</v>
      </c>
      <c r="F21" t="s">
        <v>690</v>
      </c>
      <c r="G21" t="s">
        <v>640</v>
      </c>
      <c r="H21" t="s">
        <v>643</v>
      </c>
      <c r="I21" t="s">
        <v>640</v>
      </c>
      <c r="K21"/>
      <c r="L21"/>
    </row>
    <row r="22" spans="1:12" s="7" customFormat="1" x14ac:dyDescent="0.3">
      <c r="A22" s="208">
        <v>18</v>
      </c>
      <c r="B22" s="237">
        <v>46174</v>
      </c>
      <c r="C22" s="207" t="s">
        <v>178</v>
      </c>
      <c r="D22" s="208" t="s">
        <v>91</v>
      </c>
      <c r="E22" s="209" t="s">
        <v>25</v>
      </c>
      <c r="F22" s="206" t="s">
        <v>690</v>
      </c>
      <c r="G22" s="206" t="s">
        <v>640</v>
      </c>
      <c r="H22" s="206" t="s">
        <v>643</v>
      </c>
      <c r="I22" s="206" t="s">
        <v>640</v>
      </c>
      <c r="K22"/>
      <c r="L22"/>
    </row>
    <row r="23" spans="1:12" s="7" customFormat="1" x14ac:dyDescent="0.3">
      <c r="A23" s="13">
        <v>19</v>
      </c>
      <c r="B23" s="236">
        <v>46174</v>
      </c>
      <c r="C23" s="70" t="s">
        <v>179</v>
      </c>
      <c r="D23" s="13" t="s">
        <v>91</v>
      </c>
      <c r="E23" s="12" t="s">
        <v>26</v>
      </c>
      <c r="F23" t="s">
        <v>690</v>
      </c>
      <c r="G23" t="s">
        <v>640</v>
      </c>
      <c r="H23" t="s">
        <v>643</v>
      </c>
      <c r="I23" t="s">
        <v>640</v>
      </c>
      <c r="K23"/>
      <c r="L23"/>
    </row>
    <row r="25" spans="1:12" x14ac:dyDescent="0.3">
      <c r="A25" s="51" t="s">
        <v>705</v>
      </c>
    </row>
  </sheetData>
  <mergeCells count="9">
    <mergeCell ref="L3:L4"/>
    <mergeCell ref="B3:B4"/>
    <mergeCell ref="G3:I3"/>
    <mergeCell ref="F3:F4"/>
    <mergeCell ref="A3:A4"/>
    <mergeCell ref="C3:C4"/>
    <mergeCell ref="D3:D4"/>
    <mergeCell ref="E3:E4"/>
    <mergeCell ref="K3:K4"/>
  </mergeCells>
  <dataValidations count="2">
    <dataValidation type="list" allowBlank="1" showInputMessage="1" showErrorMessage="1" sqref="F5:F23" xr:uid="{BCF61615-86D3-4578-9C96-80E493F4C56A}">
      <formula1>$K$5:$K$8</formula1>
    </dataValidation>
    <dataValidation type="list" allowBlank="1" showInputMessage="1" showErrorMessage="1" sqref="G5:I23" xr:uid="{1F732689-D7F3-4890-A3CB-3FDC629E8ACE}">
      <formula1>$L$5:$L$18</formula1>
    </dataValidation>
  </dataValidation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D8E8-88AC-4EE5-B9D5-FD9D3F17D38F}">
  <dimension ref="A1:G11"/>
  <sheetViews>
    <sheetView workbookViewId="0">
      <selection activeCell="E11" sqref="E11"/>
    </sheetView>
  </sheetViews>
  <sheetFormatPr defaultRowHeight="14.4" x14ac:dyDescent="0.3"/>
  <cols>
    <col min="1" max="1" width="4.77734375" customWidth="1"/>
    <col min="2" max="2" width="6" customWidth="1"/>
    <col min="3" max="3" width="10" bestFit="1" customWidth="1"/>
    <col min="4" max="4" width="15" customWidth="1"/>
    <col min="5" max="5" width="10.77734375" customWidth="1"/>
    <col min="6" max="6" width="11.109375" customWidth="1"/>
    <col min="7" max="7" width="15.77734375" customWidth="1"/>
    <col min="8" max="8" width="10.6640625" bestFit="1" customWidth="1"/>
    <col min="9" max="9" width="6.88671875" bestFit="1" customWidth="1"/>
    <col min="10" max="10" width="7.6640625" customWidth="1"/>
    <col min="14" max="14" width="5.44140625" customWidth="1"/>
    <col min="15" max="15" width="6.88671875" customWidth="1"/>
    <col min="16" max="16" width="7.5546875" bestFit="1" customWidth="1"/>
    <col min="17" max="17" width="9.33203125" customWidth="1"/>
    <col min="18" max="18" width="10.6640625" customWidth="1"/>
    <col min="19" max="19" width="11.21875" customWidth="1"/>
    <col min="20" max="20" width="10.6640625" bestFit="1" customWidth="1"/>
    <col min="21" max="21" width="6.88671875" bestFit="1" customWidth="1"/>
    <col min="22" max="22" width="7.5546875" bestFit="1" customWidth="1"/>
    <col min="23" max="23" width="10.6640625" bestFit="1" customWidth="1"/>
    <col min="24" max="24" width="6.88671875" bestFit="1" customWidth="1"/>
    <col min="25" max="25" width="7.5546875" bestFit="1" customWidth="1"/>
    <col min="26" max="26" width="8.33203125" bestFit="1" customWidth="1"/>
  </cols>
  <sheetData>
    <row r="1" spans="1:7" ht="15.6" x14ac:dyDescent="0.3">
      <c r="A1" s="38" t="s">
        <v>1572</v>
      </c>
    </row>
    <row r="3" spans="1:7" s="18" customFormat="1" ht="28.8" x14ac:dyDescent="0.3">
      <c r="A3" s="235" t="s">
        <v>79</v>
      </c>
      <c r="B3" s="235" t="s">
        <v>626</v>
      </c>
      <c r="C3" s="221" t="s">
        <v>650</v>
      </c>
      <c r="D3" s="221" t="s">
        <v>654</v>
      </c>
      <c r="E3" s="235" t="s">
        <v>696</v>
      </c>
      <c r="F3" s="221" t="s">
        <v>653</v>
      </c>
      <c r="G3" s="221" t="s">
        <v>697</v>
      </c>
    </row>
    <row r="4" spans="1:7" x14ac:dyDescent="0.3">
      <c r="A4" s="53"/>
      <c r="B4" s="53"/>
      <c r="C4" s="53"/>
      <c r="D4" s="53"/>
      <c r="E4" s="53"/>
      <c r="F4" s="53"/>
      <c r="G4" s="53"/>
    </row>
    <row r="5" spans="1:7" x14ac:dyDescent="0.3">
      <c r="A5" s="53"/>
      <c r="B5" s="53"/>
      <c r="C5" s="53"/>
      <c r="D5" s="53"/>
      <c r="E5" s="53"/>
      <c r="F5" s="53"/>
      <c r="G5" s="53"/>
    </row>
    <row r="6" spans="1:7" x14ac:dyDescent="0.3">
      <c r="A6" s="53"/>
      <c r="B6" s="53"/>
      <c r="C6" s="53"/>
      <c r="D6" s="53"/>
      <c r="E6" s="53"/>
      <c r="F6" s="53"/>
      <c r="G6" s="53"/>
    </row>
    <row r="7" spans="1:7" x14ac:dyDescent="0.3">
      <c r="A7" s="53"/>
      <c r="B7" s="53"/>
      <c r="C7" s="53"/>
      <c r="D7" s="53"/>
      <c r="E7" s="53"/>
      <c r="F7" s="53"/>
      <c r="G7" s="53"/>
    </row>
    <row r="8" spans="1:7" x14ac:dyDescent="0.3">
      <c r="A8" s="53"/>
      <c r="B8" s="53"/>
      <c r="C8" s="53"/>
      <c r="D8" s="53"/>
      <c r="E8" s="53"/>
      <c r="F8" s="53"/>
      <c r="G8" s="53"/>
    </row>
    <row r="11" spans="1:7" x14ac:dyDescent="0.3">
      <c r="A11" s="51" t="s">
        <v>706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1DAD-EFDE-4569-BC6B-39B13807898E}">
  <dimension ref="A1:P15"/>
  <sheetViews>
    <sheetView workbookViewId="0">
      <selection activeCell="A3" sqref="A3:XFD13"/>
    </sheetView>
  </sheetViews>
  <sheetFormatPr defaultRowHeight="14.4" x14ac:dyDescent="0.3"/>
  <cols>
    <col min="2" max="2" width="12.5546875" bestFit="1" customWidth="1"/>
    <col min="3" max="3" width="11.6640625" customWidth="1"/>
    <col min="4" max="4" width="11.33203125" customWidth="1"/>
    <col min="5" max="5" width="11.5546875" customWidth="1"/>
    <col min="6" max="6" width="9.21875" bestFit="1" customWidth="1"/>
    <col min="7" max="7" width="10.44140625" customWidth="1"/>
    <col min="8" max="8" width="13.44140625" customWidth="1"/>
    <col min="9" max="9" width="8.109375" customWidth="1"/>
    <col min="10" max="10" width="9.5546875" bestFit="1" customWidth="1"/>
    <col min="11" max="11" width="5" customWidth="1"/>
    <col min="12" max="12" width="15.88671875" bestFit="1" customWidth="1"/>
    <col min="13" max="13" width="12.88671875" bestFit="1" customWidth="1"/>
    <col min="14" max="14" width="5.21875" customWidth="1"/>
    <col min="15" max="15" width="13.5546875" bestFit="1" customWidth="1"/>
    <col min="16" max="16" width="19.88671875" bestFit="1" customWidth="1"/>
  </cols>
  <sheetData>
    <row r="1" spans="1:16" s="37" customFormat="1" ht="15.6" x14ac:dyDescent="0.3">
      <c r="A1" s="33" t="s">
        <v>1651</v>
      </c>
    </row>
    <row r="2" spans="1:16" ht="15" thickBot="1" x14ac:dyDescent="0.35">
      <c r="L2" s="17" t="s">
        <v>681</v>
      </c>
    </row>
    <row r="3" spans="1:16" ht="28.8" x14ac:dyDescent="0.3">
      <c r="A3" s="238" t="s">
        <v>629</v>
      </c>
      <c r="B3" s="238" t="s">
        <v>632</v>
      </c>
      <c r="C3" s="238" t="s">
        <v>657</v>
      </c>
      <c r="D3" s="238" t="s">
        <v>658</v>
      </c>
      <c r="E3" s="238" t="s">
        <v>656</v>
      </c>
      <c r="F3" s="238" t="s">
        <v>669</v>
      </c>
      <c r="G3" s="238" t="s">
        <v>1654</v>
      </c>
      <c r="H3" s="238" t="s">
        <v>1655</v>
      </c>
      <c r="I3" s="238" t="s">
        <v>1575</v>
      </c>
      <c r="L3" s="185" t="s">
        <v>656</v>
      </c>
      <c r="M3" s="185" t="s">
        <v>1575</v>
      </c>
      <c r="N3" s="18"/>
      <c r="O3" s="289" t="s">
        <v>1580</v>
      </c>
      <c r="P3" s="290"/>
    </row>
    <row r="4" spans="1:16" x14ac:dyDescent="0.3">
      <c r="A4" s="216"/>
      <c r="B4" s="216"/>
      <c r="C4" s="216"/>
      <c r="D4" s="216"/>
      <c r="E4" s="216"/>
      <c r="F4" s="216"/>
      <c r="G4" s="216"/>
      <c r="H4" s="216"/>
      <c r="I4" s="216"/>
      <c r="L4" t="s">
        <v>1592</v>
      </c>
      <c r="M4" t="s">
        <v>1590</v>
      </c>
      <c r="O4" s="186" t="s">
        <v>673</v>
      </c>
      <c r="P4" s="187" t="s">
        <v>1585</v>
      </c>
    </row>
    <row r="5" spans="1:16" ht="15" thickBot="1" x14ac:dyDescent="0.35">
      <c r="A5" s="206"/>
      <c r="B5" s="206"/>
      <c r="C5" s="206"/>
      <c r="D5" s="206"/>
      <c r="E5" s="206"/>
      <c r="F5" s="206"/>
      <c r="G5" s="206"/>
      <c r="H5" s="206"/>
      <c r="I5" s="206"/>
      <c r="L5" t="s">
        <v>1593</v>
      </c>
      <c r="M5" t="s">
        <v>1594</v>
      </c>
      <c r="O5" s="189" t="s">
        <v>1584</v>
      </c>
      <c r="P5" s="188" t="s">
        <v>1585</v>
      </c>
    </row>
    <row r="6" spans="1:16" x14ac:dyDescent="0.3">
      <c r="A6" s="216"/>
      <c r="B6" s="216"/>
      <c r="C6" s="216"/>
      <c r="D6" s="216"/>
      <c r="E6" s="216"/>
      <c r="F6" s="216"/>
      <c r="G6" s="216"/>
      <c r="H6" s="216"/>
      <c r="I6" s="216"/>
    </row>
    <row r="7" spans="1:16" x14ac:dyDescent="0.3">
      <c r="A7" s="206"/>
      <c r="B7" s="206"/>
      <c r="C7" s="206"/>
      <c r="D7" s="206"/>
      <c r="E7" s="206"/>
      <c r="F7" s="206"/>
      <c r="G7" s="206"/>
      <c r="H7" s="206"/>
      <c r="I7" s="206"/>
    </row>
    <row r="8" spans="1:16" x14ac:dyDescent="0.3">
      <c r="A8" s="216"/>
      <c r="B8" s="216"/>
      <c r="C8" s="216"/>
      <c r="D8" s="216"/>
      <c r="E8" s="216"/>
      <c r="F8" s="216"/>
      <c r="G8" s="216"/>
      <c r="H8" s="216"/>
      <c r="I8" s="216"/>
    </row>
    <row r="9" spans="1:16" x14ac:dyDescent="0.3">
      <c r="A9" s="206"/>
      <c r="B9" s="206"/>
      <c r="C9" s="206"/>
      <c r="D9" s="206"/>
      <c r="E9" s="206"/>
      <c r="F9" s="206"/>
      <c r="G9" s="206"/>
      <c r="H9" s="206"/>
      <c r="I9" s="206"/>
    </row>
    <row r="10" spans="1:16" x14ac:dyDescent="0.3">
      <c r="A10" s="216"/>
      <c r="B10" s="216"/>
      <c r="C10" s="216"/>
      <c r="D10" s="216"/>
      <c r="E10" s="216"/>
      <c r="F10" s="216"/>
      <c r="G10" s="216"/>
      <c r="H10" s="216"/>
      <c r="I10" s="216"/>
    </row>
    <row r="11" spans="1:16" x14ac:dyDescent="0.3">
      <c r="A11" s="206"/>
      <c r="B11" s="206"/>
      <c r="C11" s="206"/>
      <c r="D11" s="206"/>
      <c r="E11" s="206"/>
      <c r="F11" s="206"/>
      <c r="G11" s="206"/>
      <c r="H11" s="206"/>
      <c r="I11" s="206"/>
    </row>
    <row r="12" spans="1:16" x14ac:dyDescent="0.3">
      <c r="A12" s="216"/>
      <c r="B12" s="216"/>
      <c r="C12" s="216"/>
      <c r="D12" s="216"/>
      <c r="E12" s="216"/>
      <c r="F12" s="216"/>
      <c r="G12" s="216"/>
      <c r="H12" s="216"/>
      <c r="I12" s="216"/>
    </row>
    <row r="13" spans="1:16" x14ac:dyDescent="0.3">
      <c r="A13" s="206"/>
      <c r="B13" s="206"/>
      <c r="C13" s="206"/>
      <c r="D13" s="206"/>
      <c r="E13" s="206"/>
      <c r="F13" s="206"/>
      <c r="G13" s="206"/>
      <c r="H13" s="206"/>
      <c r="I13" s="206"/>
    </row>
    <row r="14" spans="1:16" x14ac:dyDescent="0.3">
      <c r="A14" s="216"/>
      <c r="B14" s="216"/>
      <c r="C14" s="216"/>
      <c r="D14" s="216"/>
      <c r="E14" s="216"/>
      <c r="F14" s="216"/>
      <c r="G14" s="216"/>
      <c r="H14" s="216"/>
      <c r="I14" s="216"/>
    </row>
    <row r="15" spans="1:16" x14ac:dyDescent="0.3">
      <c r="A15" s="206"/>
      <c r="B15" s="206"/>
      <c r="C15" s="206"/>
      <c r="D15" s="206"/>
      <c r="E15" s="206"/>
      <c r="F15" s="206"/>
      <c r="G15" s="206"/>
      <c r="H15" s="206"/>
      <c r="I15" s="206"/>
    </row>
  </sheetData>
  <mergeCells count="1">
    <mergeCell ref="O3:P3"/>
  </mergeCells>
  <dataValidations count="2">
    <dataValidation type="list" allowBlank="1" showInputMessage="1" showErrorMessage="1" sqref="E4:E16" xr:uid="{4C76604D-9ABC-4BEB-8FB0-B6A18F08BDA5}">
      <formula1>$L$4:$L$6</formula1>
    </dataValidation>
    <dataValidation type="list" allowBlank="1" showInputMessage="1" showErrorMessage="1" sqref="I4:I16" xr:uid="{CFD1A1E3-1DD3-40F2-A5E7-1CC42EA92A8F}">
      <formula1>$M$4:$M$6</formula1>
    </dataValidation>
  </dataValidation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62F2-F185-4061-AC02-0CF0CFF4B3AC}">
  <dimension ref="A1:M16"/>
  <sheetViews>
    <sheetView workbookViewId="0">
      <selection activeCell="A4" sqref="A4:F15"/>
    </sheetView>
  </sheetViews>
  <sheetFormatPr defaultRowHeight="14.4" x14ac:dyDescent="0.3"/>
  <cols>
    <col min="1" max="1" width="13.21875" customWidth="1"/>
    <col min="2" max="2" width="14" customWidth="1"/>
    <col min="3" max="3" width="18" customWidth="1"/>
    <col min="4" max="4" width="18.109375" customWidth="1"/>
    <col min="5" max="5" width="16.6640625" customWidth="1"/>
    <col min="6" max="6" width="17.77734375" customWidth="1"/>
    <col min="7" max="7" width="10.44140625" customWidth="1"/>
    <col min="8" max="8" width="13.44140625" customWidth="1"/>
    <col min="9" max="9" width="8.109375" customWidth="1"/>
    <col min="10" max="10" width="9.5546875" bestFit="1" customWidth="1"/>
    <col min="11" max="11" width="5" customWidth="1"/>
    <col min="12" max="12" width="15.88671875" bestFit="1" customWidth="1"/>
    <col min="13" max="13" width="12.88671875" bestFit="1" customWidth="1"/>
    <col min="14" max="14" width="5.21875" customWidth="1"/>
    <col min="15" max="15" width="13.5546875" bestFit="1" customWidth="1"/>
    <col min="16" max="16" width="19.88671875" bestFit="1" customWidth="1"/>
  </cols>
  <sheetData>
    <row r="1" spans="1:13" s="37" customFormat="1" ht="15.6" x14ac:dyDescent="0.3">
      <c r="A1" s="33" t="s">
        <v>1650</v>
      </c>
    </row>
    <row r="2" spans="1:13" x14ac:dyDescent="0.3">
      <c r="L2" s="17" t="s">
        <v>681</v>
      </c>
    </row>
    <row r="3" spans="1:13" ht="27.6" x14ac:dyDescent="0.3">
      <c r="A3" s="238" t="s">
        <v>658</v>
      </c>
      <c r="B3" s="238" t="s">
        <v>1649</v>
      </c>
      <c r="C3" s="238" t="s">
        <v>1586</v>
      </c>
      <c r="D3" s="238" t="s">
        <v>1652</v>
      </c>
      <c r="E3" s="238" t="s">
        <v>1653</v>
      </c>
      <c r="F3" s="238" t="s">
        <v>1575</v>
      </c>
      <c r="M3" s="185" t="s">
        <v>1575</v>
      </c>
    </row>
    <row r="4" spans="1:13" x14ac:dyDescent="0.3">
      <c r="A4" s="216"/>
      <c r="B4" s="216"/>
      <c r="C4" s="216"/>
      <c r="D4" s="216"/>
      <c r="E4" s="216"/>
      <c r="F4" s="216"/>
      <c r="M4" t="s">
        <v>1591</v>
      </c>
    </row>
    <row r="5" spans="1:13" x14ac:dyDescent="0.3">
      <c r="A5" s="206"/>
      <c r="B5" s="206"/>
      <c r="C5" s="206"/>
      <c r="D5" s="206"/>
      <c r="E5" s="206"/>
      <c r="F5" s="206"/>
      <c r="M5" t="s">
        <v>1595</v>
      </c>
    </row>
    <row r="6" spans="1:13" x14ac:dyDescent="0.3">
      <c r="A6" s="216"/>
      <c r="B6" s="216"/>
      <c r="C6" s="216"/>
      <c r="D6" s="216"/>
      <c r="E6" s="216"/>
      <c r="F6" s="216"/>
    </row>
    <row r="7" spans="1:13" x14ac:dyDescent="0.3">
      <c r="A7" s="206"/>
      <c r="B7" s="206"/>
      <c r="C7" s="206"/>
      <c r="D7" s="206"/>
      <c r="E7" s="206"/>
      <c r="F7" s="206"/>
    </row>
    <row r="8" spans="1:13" x14ac:dyDescent="0.3">
      <c r="A8" s="216"/>
      <c r="B8" s="216"/>
      <c r="C8" s="216"/>
      <c r="D8" s="216"/>
      <c r="E8" s="216"/>
      <c r="F8" s="216"/>
    </row>
    <row r="9" spans="1:13" x14ac:dyDescent="0.3">
      <c r="A9" s="206"/>
      <c r="B9" s="206"/>
      <c r="C9" s="206"/>
      <c r="D9" s="206"/>
      <c r="E9" s="206"/>
      <c r="F9" s="206"/>
    </row>
    <row r="10" spans="1:13" x14ac:dyDescent="0.3">
      <c r="A10" s="216"/>
      <c r="B10" s="216"/>
      <c r="C10" s="216"/>
      <c r="D10" s="216"/>
      <c r="E10" s="216"/>
      <c r="F10" s="216"/>
    </row>
    <row r="11" spans="1:13" x14ac:dyDescent="0.3">
      <c r="A11" s="206"/>
      <c r="B11" s="206"/>
      <c r="C11" s="206"/>
      <c r="D11" s="206"/>
      <c r="E11" s="206"/>
      <c r="F11" s="206"/>
    </row>
    <row r="12" spans="1:13" x14ac:dyDescent="0.3">
      <c r="A12" s="216"/>
      <c r="B12" s="216"/>
      <c r="C12" s="216"/>
      <c r="D12" s="216"/>
      <c r="E12" s="216"/>
      <c r="F12" s="216"/>
    </row>
    <row r="13" spans="1:13" x14ac:dyDescent="0.3">
      <c r="A13" s="206"/>
      <c r="B13" s="206"/>
      <c r="C13" s="206"/>
      <c r="D13" s="206"/>
      <c r="E13" s="206"/>
      <c r="F13" s="206"/>
    </row>
    <row r="14" spans="1:13" x14ac:dyDescent="0.3">
      <c r="A14" s="216"/>
      <c r="B14" s="216"/>
      <c r="C14" s="216"/>
      <c r="D14" s="216"/>
      <c r="E14" s="216"/>
      <c r="F14" s="216"/>
    </row>
    <row r="15" spans="1:13" x14ac:dyDescent="0.3">
      <c r="A15" s="206"/>
      <c r="B15" s="206"/>
      <c r="C15" s="206"/>
      <c r="D15" s="206"/>
      <c r="E15" s="206"/>
      <c r="F15" s="206"/>
    </row>
    <row r="16" spans="1:13" x14ac:dyDescent="0.3">
      <c r="A16" s="216"/>
      <c r="B16" s="216"/>
      <c r="C16" s="216"/>
      <c r="D16" s="216"/>
      <c r="E16" s="216"/>
      <c r="F16" s="21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573E-2924-4A26-AFA1-9BDE5FB0A410}">
  <dimension ref="A1:N14"/>
  <sheetViews>
    <sheetView workbookViewId="0">
      <selection activeCell="B3" sqref="B3"/>
    </sheetView>
  </sheetViews>
  <sheetFormatPr defaultRowHeight="14.4" x14ac:dyDescent="0.3"/>
  <cols>
    <col min="1" max="1" width="17.21875" customWidth="1"/>
    <col min="2" max="2" width="20.6640625" customWidth="1"/>
    <col min="3" max="3" width="16.88671875" customWidth="1"/>
    <col min="4" max="4" width="13.77734375" customWidth="1"/>
    <col min="5" max="5" width="15.109375" customWidth="1"/>
    <col min="6" max="6" width="14" customWidth="1"/>
    <col min="7" max="7" width="10.44140625" customWidth="1"/>
    <col min="8" max="8" width="13.44140625" customWidth="1"/>
    <col min="9" max="9" width="8.109375" customWidth="1"/>
    <col min="10" max="10" width="9.5546875" bestFit="1" customWidth="1"/>
    <col min="11" max="11" width="5" customWidth="1"/>
    <col min="12" max="12" width="15.88671875" bestFit="1" customWidth="1"/>
    <col min="13" max="13" width="12.88671875" bestFit="1" customWidth="1"/>
    <col min="14" max="14" width="5.21875" customWidth="1"/>
    <col min="15" max="15" width="13.5546875" bestFit="1" customWidth="1"/>
    <col min="16" max="16" width="19.88671875" bestFit="1" customWidth="1"/>
  </cols>
  <sheetData>
    <row r="1" spans="1:14" ht="15.6" x14ac:dyDescent="0.3">
      <c r="A1" s="33" t="s">
        <v>1596</v>
      </c>
    </row>
    <row r="2" spans="1:14" x14ac:dyDescent="0.3">
      <c r="L2" s="17" t="s">
        <v>681</v>
      </c>
    </row>
    <row r="3" spans="1:14" ht="27.6" x14ac:dyDescent="0.3">
      <c r="A3" s="239" t="s">
        <v>657</v>
      </c>
      <c r="B3" s="239" t="s">
        <v>1597</v>
      </c>
      <c r="C3" s="239" t="s">
        <v>661</v>
      </c>
      <c r="D3" s="239" t="s">
        <v>659</v>
      </c>
      <c r="E3" s="239" t="s">
        <v>668</v>
      </c>
      <c r="F3" s="239" t="s">
        <v>1575</v>
      </c>
      <c r="L3" s="185" t="s">
        <v>662</v>
      </c>
      <c r="M3" s="185" t="s">
        <v>1575</v>
      </c>
      <c r="N3" s="185"/>
    </row>
    <row r="4" spans="1:14" x14ac:dyDescent="0.3">
      <c r="A4" s="216"/>
      <c r="B4" s="216"/>
      <c r="C4" s="216"/>
      <c r="D4" s="216"/>
      <c r="E4" s="216"/>
      <c r="F4" s="216"/>
      <c r="L4" t="s">
        <v>1587</v>
      </c>
      <c r="M4" t="s">
        <v>1579</v>
      </c>
    </row>
    <row r="5" spans="1:14" x14ac:dyDescent="0.3">
      <c r="A5" s="206"/>
      <c r="B5" s="206"/>
      <c r="C5" s="206"/>
      <c r="D5" s="206"/>
      <c r="E5" s="206"/>
      <c r="F5" s="206"/>
      <c r="L5" t="s">
        <v>1588</v>
      </c>
      <c r="M5" t="s">
        <v>1589</v>
      </c>
    </row>
    <row r="6" spans="1:14" x14ac:dyDescent="0.3">
      <c r="A6" s="216"/>
      <c r="B6" s="216"/>
      <c r="C6" s="216"/>
      <c r="D6" s="216"/>
      <c r="E6" s="216"/>
      <c r="F6" s="216"/>
    </row>
    <row r="7" spans="1:14" x14ac:dyDescent="0.3">
      <c r="A7" s="206"/>
      <c r="B7" s="206"/>
      <c r="C7" s="206"/>
      <c r="D7" s="206"/>
      <c r="E7" s="206"/>
      <c r="F7" s="206"/>
    </row>
    <row r="8" spans="1:14" x14ac:dyDescent="0.3">
      <c r="A8" s="216"/>
      <c r="B8" s="216"/>
      <c r="C8" s="216"/>
      <c r="D8" s="216"/>
      <c r="E8" s="216"/>
      <c r="F8" s="216"/>
    </row>
    <row r="9" spans="1:14" x14ac:dyDescent="0.3">
      <c r="A9" s="206"/>
      <c r="B9" s="206"/>
      <c r="C9" s="206"/>
      <c r="D9" s="206"/>
      <c r="E9" s="206"/>
      <c r="F9" s="206"/>
    </row>
    <row r="10" spans="1:14" x14ac:dyDescent="0.3">
      <c r="A10" s="216"/>
      <c r="B10" s="216"/>
      <c r="C10" s="216"/>
      <c r="D10" s="216"/>
      <c r="E10" s="216"/>
      <c r="F10" s="216"/>
    </row>
    <row r="11" spans="1:14" x14ac:dyDescent="0.3">
      <c r="A11" s="206"/>
      <c r="B11" s="206"/>
      <c r="C11" s="206"/>
      <c r="D11" s="206"/>
      <c r="E11" s="206"/>
      <c r="F11" s="206"/>
    </row>
    <row r="12" spans="1:14" x14ac:dyDescent="0.3">
      <c r="A12" s="216"/>
      <c r="B12" s="216"/>
      <c r="C12" s="216"/>
      <c r="D12" s="216"/>
      <c r="E12" s="216"/>
      <c r="F12" s="216"/>
    </row>
    <row r="13" spans="1:14" x14ac:dyDescent="0.3">
      <c r="A13" s="206"/>
      <c r="B13" s="206"/>
      <c r="C13" s="206"/>
      <c r="D13" s="206"/>
      <c r="E13" s="206"/>
      <c r="F13" s="206"/>
    </row>
    <row r="14" spans="1:14" x14ac:dyDescent="0.3">
      <c r="A14" s="216"/>
      <c r="B14" s="216"/>
      <c r="C14" s="216"/>
      <c r="D14" s="216"/>
      <c r="E14" s="216"/>
      <c r="F14" s="216"/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12DE-E0CF-4CB2-9E62-208A82FB2199}">
  <dimension ref="A1:I15"/>
  <sheetViews>
    <sheetView workbookViewId="0">
      <selection activeCell="D22" sqref="D22"/>
    </sheetView>
  </sheetViews>
  <sheetFormatPr defaultRowHeight="14.4" x14ac:dyDescent="0.3"/>
  <cols>
    <col min="1" max="1" width="15.44140625" customWidth="1"/>
    <col min="2" max="2" width="14.109375" customWidth="1"/>
    <col min="3" max="3" width="17.21875" customWidth="1"/>
    <col min="4" max="4" width="15.88671875" customWidth="1"/>
    <col min="5" max="5" width="13.21875" customWidth="1"/>
    <col min="6" max="7" width="13" customWidth="1"/>
    <col min="8" max="8" width="13.44140625" customWidth="1"/>
    <col min="9" max="9" width="8.109375" customWidth="1"/>
    <col min="10" max="10" width="9.5546875" bestFit="1" customWidth="1"/>
    <col min="11" max="11" width="5" customWidth="1"/>
    <col min="12" max="12" width="15.88671875" bestFit="1" customWidth="1"/>
    <col min="13" max="13" width="12.88671875" bestFit="1" customWidth="1"/>
    <col min="14" max="14" width="5.21875" customWidth="1"/>
    <col min="15" max="15" width="13.5546875" bestFit="1" customWidth="1"/>
    <col min="16" max="16" width="19.88671875" bestFit="1" customWidth="1"/>
  </cols>
  <sheetData>
    <row r="1" spans="1:9" ht="15.6" x14ac:dyDescent="0.3">
      <c r="A1" s="33" t="s">
        <v>1656</v>
      </c>
    </row>
    <row r="3" spans="1:9" ht="27.6" x14ac:dyDescent="0.3">
      <c r="A3" s="239" t="s">
        <v>657</v>
      </c>
      <c r="B3" s="239" t="s">
        <v>667</v>
      </c>
      <c r="C3" s="239" t="s">
        <v>666</v>
      </c>
      <c r="D3" s="239" t="s">
        <v>663</v>
      </c>
      <c r="E3" s="239" t="s">
        <v>664</v>
      </c>
      <c r="F3" s="239" t="s">
        <v>665</v>
      </c>
      <c r="G3" s="239" t="s">
        <v>668</v>
      </c>
    </row>
    <row r="4" spans="1:9" x14ac:dyDescent="0.3">
      <c r="A4" s="216"/>
      <c r="B4" s="216"/>
      <c r="C4" s="216"/>
      <c r="D4" s="216"/>
      <c r="E4" s="216"/>
      <c r="F4" s="216"/>
      <c r="G4" s="216"/>
    </row>
    <row r="5" spans="1:9" x14ac:dyDescent="0.3">
      <c r="A5" s="206"/>
      <c r="B5" s="206"/>
      <c r="C5" s="206"/>
      <c r="D5" s="206"/>
      <c r="E5" s="206"/>
      <c r="F5" s="206"/>
      <c r="G5" s="206"/>
      <c r="H5" s="15"/>
      <c r="I5" s="15"/>
    </row>
    <row r="6" spans="1:9" x14ac:dyDescent="0.3">
      <c r="A6" s="216"/>
      <c r="B6" s="216"/>
      <c r="C6" s="216"/>
      <c r="D6" s="216"/>
      <c r="E6" s="216"/>
      <c r="F6" s="216"/>
      <c r="G6" s="216"/>
      <c r="H6" s="15"/>
      <c r="I6" s="15"/>
    </row>
    <row r="7" spans="1:9" x14ac:dyDescent="0.3">
      <c r="A7" s="206"/>
      <c r="B7" s="206"/>
      <c r="C7" s="206"/>
      <c r="D7" s="206"/>
      <c r="E7" s="206"/>
      <c r="F7" s="206"/>
      <c r="G7" s="206"/>
      <c r="H7" s="15"/>
      <c r="I7" s="15"/>
    </row>
    <row r="8" spans="1:9" x14ac:dyDescent="0.3">
      <c r="A8" s="216"/>
      <c r="B8" s="216"/>
      <c r="C8" s="216"/>
      <c r="D8" s="216"/>
      <c r="E8" s="216"/>
      <c r="F8" s="216"/>
      <c r="G8" s="216"/>
      <c r="H8" s="15"/>
      <c r="I8" s="15"/>
    </row>
    <row r="9" spans="1:9" x14ac:dyDescent="0.3">
      <c r="A9" s="206"/>
      <c r="B9" s="206"/>
      <c r="C9" s="206"/>
      <c r="D9" s="206"/>
      <c r="E9" s="206"/>
      <c r="F9" s="206"/>
      <c r="G9" s="206"/>
    </row>
    <row r="10" spans="1:9" x14ac:dyDescent="0.3">
      <c r="A10" s="216"/>
      <c r="B10" s="216"/>
      <c r="C10" s="216"/>
      <c r="D10" s="216"/>
      <c r="E10" s="216"/>
      <c r="F10" s="216"/>
      <c r="G10" s="216"/>
    </row>
    <row r="11" spans="1:9" x14ac:dyDescent="0.3">
      <c r="A11" s="206"/>
      <c r="B11" s="206"/>
      <c r="C11" s="206"/>
      <c r="D11" s="206"/>
      <c r="E11" s="206"/>
      <c r="F11" s="206"/>
      <c r="G11" s="206"/>
    </row>
    <row r="12" spans="1:9" x14ac:dyDescent="0.3">
      <c r="A12" s="216"/>
      <c r="B12" s="216"/>
      <c r="C12" s="216"/>
      <c r="D12" s="216"/>
      <c r="E12" s="216"/>
      <c r="F12" s="216"/>
      <c r="G12" s="216"/>
    </row>
    <row r="13" spans="1:9" x14ac:dyDescent="0.3">
      <c r="A13" s="206"/>
      <c r="B13" s="206"/>
      <c r="C13" s="206"/>
      <c r="D13" s="206"/>
      <c r="E13" s="206"/>
      <c r="F13" s="206"/>
      <c r="G13" s="206"/>
    </row>
    <row r="14" spans="1:9" x14ac:dyDescent="0.3">
      <c r="A14" s="216"/>
      <c r="B14" s="216"/>
      <c r="C14" s="216"/>
      <c r="D14" s="216"/>
      <c r="E14" s="216"/>
      <c r="F14" s="216"/>
      <c r="G14" s="216"/>
    </row>
    <row r="15" spans="1:9" x14ac:dyDescent="0.3">
      <c r="A15" s="206"/>
      <c r="B15" s="206"/>
      <c r="C15" s="206"/>
      <c r="D15" s="206"/>
      <c r="E15" s="206"/>
      <c r="F15" s="206"/>
      <c r="G15" s="206"/>
    </row>
  </sheetData>
  <dataValidations count="1">
    <dataValidation type="list" allowBlank="1" showInputMessage="1" showErrorMessage="1" sqref="E4:E15" xr:uid="{98728FDA-8B12-40CC-B079-C994255B8393}">
      <formula1>#REF!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23A5-8A91-4E3D-9443-1DE9EC5AEE5F}">
  <dimension ref="A1"/>
  <sheetViews>
    <sheetView workbookViewId="0">
      <selection activeCell="I24" sqref="I2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0. Data Penghuni Mess CNI</vt:lpstr>
      <vt:lpstr>1. Dashboard</vt:lpstr>
      <vt:lpstr>2.1. Data Register_Area</vt:lpstr>
      <vt:lpstr>2.2 Data Register_Mess</vt:lpstr>
      <vt:lpstr>2.3. Data Register_Bedroom</vt:lpstr>
      <vt:lpstr>2.3. Data Register_Meeting Room</vt:lpstr>
      <vt:lpstr>2.4 Data Register_Meals DP</vt:lpstr>
      <vt:lpstr>2.5. Data Register_Laundry DP</vt:lpstr>
      <vt:lpstr>2.6. Data Register_Laundry Bag</vt:lpstr>
      <vt:lpstr>2.7. Data Register_Guest</vt:lpstr>
      <vt:lpstr>3.1. Reservation_Bedroom</vt:lpstr>
      <vt:lpstr>3.2. Reservation_Meeting Room</vt:lpstr>
      <vt:lpstr>3.3. Check In &amp; Out</vt:lpstr>
      <vt:lpstr>4.1 Information_Bedroom</vt:lpstr>
      <vt:lpstr>4.2. Information_Meeting Room</vt:lpstr>
      <vt:lpstr>4.3.Information_Person On Board</vt:lpstr>
      <vt:lpstr>4.4. Information_Meals Services</vt:lpstr>
      <vt:lpstr>4.5. Information_Laundry Servis</vt:lpstr>
      <vt:lpstr>5.1. Meals Request Form</vt:lpstr>
      <vt:lpstr>5.2. Meals on Request </vt:lpstr>
      <vt:lpstr>5.3. Meals on Schedule</vt:lpstr>
      <vt:lpstr>5.4. Meals for Delivery</vt:lpstr>
      <vt:lpstr>6.1. Laundry Drop &amp; Distribute</vt:lpstr>
      <vt:lpstr>6.2. Laundry Deliver &amp; Return</vt:lpstr>
      <vt:lpstr>6.3. Laundry Receiving</vt:lpstr>
      <vt:lpstr>6.4. Laundry Receiving Details </vt:lpstr>
      <vt:lpstr>7.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</dc:creator>
  <cp:lastModifiedBy>HP VICTUS</cp:lastModifiedBy>
  <dcterms:created xsi:type="dcterms:W3CDTF">2026-05-25T09:14:20Z</dcterms:created>
  <dcterms:modified xsi:type="dcterms:W3CDTF">2026-07-28T03:46:42Z</dcterms:modified>
</cp:coreProperties>
</file>